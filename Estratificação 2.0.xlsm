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E:\MaintenanceIndicators\"/>
    </mc:Choice>
  </mc:AlternateContent>
  <bookViews>
    <workbookView xWindow="-120" yWindow="-120" windowWidth="20730" windowHeight="11310" activeTab="1"/>
  </bookViews>
  <sheets>
    <sheet name="Base de Dados" sheetId="1" r:id="rId1"/>
    <sheet name="Registro" sheetId="2" r:id="rId2"/>
    <sheet name="Tempo de Produção" sheetId="7" r:id="rId3"/>
    <sheet name="Calculos" sheetId="4" r:id="rId4"/>
    <sheet name="Indicadores" sheetId="3" r:id="rId5"/>
    <sheet name="Tempo de Serviço" sheetId="6" r:id="rId6"/>
  </sheets>
  <functionGroups builtInGroupCount="18"/>
  <definedNames>
    <definedName name="_xlcn.WorksheetConnection_Estratificação2.0.xlsxTabela11" hidden="1">Tabela1[]</definedName>
    <definedName name="a">Calculos!#REF!</definedName>
    <definedName name="ano" localSheetId="5">'Tempo de Serviço'!$E$3</definedName>
    <definedName name="ano">Indicadores!$G$3</definedName>
    <definedName name="cod_Causa">'Base de Dados'!$O$2:$O$21</definedName>
    <definedName name="ContagemParadaGeral">Calculos!#REF!</definedName>
    <definedName name="ContagemTempoParadasInd">Calculos!$L$9</definedName>
    <definedName name="ContagemTempoSetupInd">Calculos!#REF!</definedName>
    <definedName name="dia" localSheetId="5">'Tempo de Serviço'!$I$3</definedName>
    <definedName name="dia">Indicadores!$L$3</definedName>
    <definedName name="fimMes" localSheetId="5">'Tempo de Serviço'!#REF!</definedName>
    <definedName name="fimMes">Indicadores!$J$2</definedName>
    <definedName name="manutencistas">'Base de Dados'!$I$2:$J$21</definedName>
    <definedName name="mat_name">'Base de Dados'!$I$2:$J$21</definedName>
    <definedName name="matricula">'Tempo de Serviço'!$N$3</definedName>
    <definedName name="matriculas">Calculos!$V$2:$V$21</definedName>
    <definedName name="mes" localSheetId="5">'Tempo de Serviço'!$G$3</definedName>
    <definedName name="mes">Indicadores!$I$3</definedName>
    <definedName name="mtbf">Calculos!$C$4</definedName>
    <definedName name="mtbf_cm">Calculos!$C$11</definedName>
    <definedName name="mtbf_hp">Calculos!$C$12</definedName>
    <definedName name="mtbf_lwf">Calculos!$C$10</definedName>
    <definedName name="mtbf_pur">Calculos!$C$9</definedName>
    <definedName name="mtbf_unidade">Calculos!$D$4</definedName>
    <definedName name="mtbf_wj">Calculos!$C$13</definedName>
    <definedName name="mttr">Calculos!$C$3</definedName>
    <definedName name="mttr_cm">Calculos!$D$11</definedName>
    <definedName name="mttr_hp">Calculos!$D$12</definedName>
    <definedName name="mttr_lwf">Calculos!$D$10</definedName>
    <definedName name="mttr_pur">Calculos!$D$9</definedName>
    <definedName name="mttr_unidade">Calculos!$D$3</definedName>
    <definedName name="mttr_wj">Calculos!$D$13</definedName>
    <definedName name="serviceTime">'Tempo de Serviço'!$N$8</definedName>
    <definedName name="serviceTimeTable">Calculos!#REF!</definedName>
    <definedName name="SetupNumber">'Base de Dados'!$K$39</definedName>
    <definedName name="SomaParadaGeral">Calculos!#REF!</definedName>
    <definedName name="SomaTempoParada">Calculos!$S$11</definedName>
    <definedName name="SomaTempoParada_Manut">Calculos!#REF!</definedName>
    <definedName name="SomaTempoParadaInd">Calculos!$K$9</definedName>
    <definedName name="SomaTempoSetup">Calculos!$T$11</definedName>
    <definedName name="SomaTempoSetup_Manut">Calculos!#REF!</definedName>
    <definedName name="SomaTempoSetupInd">Calculos!#REF!</definedName>
    <definedName name="t">Calculos!#REF!</definedName>
    <definedName name="tabela_mes">'Base de Dados'!$F$25:$I$36</definedName>
    <definedName name="tableCase">'Base de Dados'!$O$2:$P$21</definedName>
    <definedName name="tags">'Base de Dados'!$V$2:$V$53</definedName>
    <definedName name="TagsIndicators">Calculos!$B$17:$B$69</definedName>
    <definedName name="TempoParadaGeral">Calculos!#REF!</definedName>
    <definedName name="tempos">Calculos!$X$2:$X$21</definedName>
    <definedName name="time_WJ" localSheetId="5">'Tempo de Serviço'!#REF!</definedName>
    <definedName name="time_WJ">Indicadores!$U$5</definedName>
    <definedName name="turno" localSheetId="5">'Tempo de Serviço'!$K$3</definedName>
    <definedName name="turno">Indicadores!$O$3</definedName>
  </definedNames>
  <calcPr calcId="152511"/>
  <pivotCaches>
    <pivotCache cacheId="4" r:id="rId7"/>
    <pivotCache cacheId="16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-6a7183f4-fb78-4016-bf43-c685a2b1b100" name="Tabela1" connection="WorksheetConnection_Estratificação 2.0.xlsx!Tabela1"/>
        </x15:modelTables>
      </x15:dataModel>
    </ext>
  </extLst>
</workbook>
</file>

<file path=xl/calcChain.xml><?xml version="1.0" encoding="utf-8"?>
<calcChain xmlns="http://schemas.openxmlformats.org/spreadsheetml/2006/main">
  <c r="G258" i="2" l="1"/>
  <c r="H258" i="2"/>
  <c r="I258" i="2"/>
  <c r="J258" i="2"/>
  <c r="K258" i="2"/>
  <c r="S258" i="2"/>
  <c r="T258" i="2"/>
  <c r="U258" i="2"/>
  <c r="V258" i="2"/>
  <c r="W258" i="2"/>
  <c r="X258" i="2"/>
  <c r="C4" i="4"/>
  <c r="F7" i="3" s="1"/>
  <c r="C3" i="4"/>
  <c r="B7" i="3" s="1"/>
  <c r="C6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17" i="4"/>
  <c r="C13" i="4" l="1"/>
  <c r="D13" i="4"/>
  <c r="C14" i="4"/>
  <c r="C11" i="4"/>
  <c r="C9" i="4"/>
  <c r="D12" i="4"/>
  <c r="D10" i="4"/>
  <c r="D9" i="4"/>
  <c r="C12" i="4"/>
  <c r="C10" i="4"/>
  <c r="D14" i="4"/>
  <c r="D11" i="4"/>
  <c r="G257" i="2"/>
  <c r="H257" i="2"/>
  <c r="I257" i="2"/>
  <c r="J257" i="2"/>
  <c r="K257" i="2"/>
  <c r="S257" i="2"/>
  <c r="T257" i="2"/>
  <c r="U257" i="2"/>
  <c r="V257" i="2"/>
  <c r="W257" i="2"/>
  <c r="X257" i="2"/>
  <c r="G256" i="2"/>
  <c r="H256" i="2"/>
  <c r="I256" i="2"/>
  <c r="J256" i="2"/>
  <c r="K256" i="2"/>
  <c r="S256" i="2"/>
  <c r="T256" i="2"/>
  <c r="U256" i="2"/>
  <c r="V256" i="2"/>
  <c r="W256" i="2"/>
  <c r="X256" i="2"/>
  <c r="G255" i="2"/>
  <c r="H255" i="2"/>
  <c r="I255" i="2"/>
  <c r="J255" i="2"/>
  <c r="K255" i="2"/>
  <c r="S255" i="2"/>
  <c r="T255" i="2"/>
  <c r="U255" i="2"/>
  <c r="V255" i="2"/>
  <c r="W255" i="2"/>
  <c r="X255" i="2"/>
  <c r="G254" i="2"/>
  <c r="H254" i="2"/>
  <c r="I254" i="2"/>
  <c r="J254" i="2"/>
  <c r="K254" i="2"/>
  <c r="S254" i="2"/>
  <c r="T254" i="2"/>
  <c r="U254" i="2"/>
  <c r="V254" i="2"/>
  <c r="W254" i="2"/>
  <c r="X254" i="2"/>
  <c r="G253" i="2"/>
  <c r="H253" i="2"/>
  <c r="I253" i="2"/>
  <c r="J253" i="2"/>
  <c r="K253" i="2"/>
  <c r="S253" i="2"/>
  <c r="T253" i="2"/>
  <c r="U253" i="2"/>
  <c r="V253" i="2"/>
  <c r="W253" i="2"/>
  <c r="X253" i="2"/>
  <c r="G252" i="2"/>
  <c r="H252" i="2"/>
  <c r="I252" i="2"/>
  <c r="J252" i="2"/>
  <c r="K252" i="2"/>
  <c r="S252" i="2"/>
  <c r="T252" i="2"/>
  <c r="U252" i="2"/>
  <c r="V252" i="2"/>
  <c r="W252" i="2"/>
  <c r="X252" i="2"/>
  <c r="A1" i="6" l="1"/>
  <c r="A1" i="3"/>
  <c r="W8" i="4"/>
  <c r="N7" i="6"/>
  <c r="W18" i="4"/>
  <c r="W19" i="4"/>
  <c r="W13" i="4"/>
  <c r="W16" i="4"/>
  <c r="W20" i="4"/>
  <c r="W2" i="4"/>
  <c r="W21" i="4"/>
  <c r="W14" i="4"/>
  <c r="W15" i="4"/>
  <c r="W4" i="4"/>
  <c r="W7" i="4"/>
  <c r="W6" i="4"/>
  <c r="N7" i="3" l="1"/>
  <c r="J7" i="3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G234" i="2" l="1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G191" i="2"/>
  <c r="G192" i="2"/>
  <c r="G193" i="2"/>
  <c r="G194" i="2"/>
  <c r="G195" i="2"/>
  <c r="G196" i="2"/>
  <c r="G197" i="2"/>
  <c r="G198" i="2"/>
  <c r="H191" i="2"/>
  <c r="H192" i="2"/>
  <c r="H193" i="2"/>
  <c r="H194" i="2"/>
  <c r="H195" i="2"/>
  <c r="H196" i="2"/>
  <c r="H197" i="2"/>
  <c r="H198" i="2"/>
  <c r="I191" i="2"/>
  <c r="I192" i="2"/>
  <c r="I193" i="2"/>
  <c r="I194" i="2"/>
  <c r="I195" i="2"/>
  <c r="I196" i="2"/>
  <c r="I197" i="2"/>
  <c r="I198" i="2"/>
  <c r="J191" i="2"/>
  <c r="J192" i="2"/>
  <c r="J193" i="2"/>
  <c r="J194" i="2"/>
  <c r="J195" i="2"/>
  <c r="J196" i="2"/>
  <c r="J197" i="2"/>
  <c r="J198" i="2"/>
  <c r="K191" i="2"/>
  <c r="K192" i="2"/>
  <c r="K193" i="2"/>
  <c r="K194" i="2"/>
  <c r="K195" i="2"/>
  <c r="K196" i="2"/>
  <c r="K197" i="2"/>
  <c r="K198" i="2"/>
  <c r="S191" i="2"/>
  <c r="S192" i="2"/>
  <c r="S193" i="2"/>
  <c r="S194" i="2"/>
  <c r="S195" i="2"/>
  <c r="S196" i="2"/>
  <c r="S197" i="2"/>
  <c r="S198" i="2"/>
  <c r="T191" i="2"/>
  <c r="T192" i="2"/>
  <c r="T193" i="2"/>
  <c r="T194" i="2"/>
  <c r="T195" i="2"/>
  <c r="T196" i="2"/>
  <c r="T197" i="2"/>
  <c r="T198" i="2"/>
  <c r="U191" i="2"/>
  <c r="U192" i="2"/>
  <c r="U193" i="2"/>
  <c r="U194" i="2"/>
  <c r="U195" i="2"/>
  <c r="U196" i="2"/>
  <c r="U197" i="2"/>
  <c r="U198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G87" i="2"/>
  <c r="H87" i="2"/>
  <c r="I87" i="2"/>
  <c r="J87" i="2"/>
  <c r="K87" i="2"/>
  <c r="S87" i="2"/>
  <c r="T87" i="2"/>
  <c r="U87" i="2"/>
  <c r="G80" i="2"/>
  <c r="G81" i="2"/>
  <c r="G82" i="2"/>
  <c r="G83" i="2"/>
  <c r="G84" i="2"/>
  <c r="G85" i="2"/>
  <c r="G86" i="2"/>
  <c r="H80" i="2"/>
  <c r="H81" i="2"/>
  <c r="H82" i="2"/>
  <c r="H83" i="2"/>
  <c r="H84" i="2"/>
  <c r="H85" i="2"/>
  <c r="H86" i="2"/>
  <c r="I80" i="2"/>
  <c r="I81" i="2"/>
  <c r="I82" i="2"/>
  <c r="I83" i="2"/>
  <c r="I84" i="2"/>
  <c r="I85" i="2"/>
  <c r="I86" i="2"/>
  <c r="J80" i="2"/>
  <c r="J81" i="2"/>
  <c r="J82" i="2"/>
  <c r="J83" i="2"/>
  <c r="J84" i="2"/>
  <c r="J85" i="2"/>
  <c r="J86" i="2"/>
  <c r="K80" i="2"/>
  <c r="K81" i="2"/>
  <c r="K82" i="2"/>
  <c r="K83" i="2"/>
  <c r="K84" i="2"/>
  <c r="K85" i="2"/>
  <c r="K86" i="2"/>
  <c r="S80" i="2"/>
  <c r="S81" i="2"/>
  <c r="S82" i="2"/>
  <c r="S83" i="2"/>
  <c r="S84" i="2"/>
  <c r="S85" i="2"/>
  <c r="S86" i="2"/>
  <c r="T80" i="2"/>
  <c r="T81" i="2"/>
  <c r="T82" i="2"/>
  <c r="T83" i="2"/>
  <c r="T84" i="2"/>
  <c r="T85" i="2"/>
  <c r="T86" i="2"/>
  <c r="U80" i="2"/>
  <c r="U81" i="2"/>
  <c r="U82" i="2"/>
  <c r="U83" i="2"/>
  <c r="U84" i="2"/>
  <c r="U85" i="2"/>
  <c r="U86" i="2"/>
  <c r="G72" i="2"/>
  <c r="G73" i="2"/>
  <c r="G74" i="2"/>
  <c r="G75" i="2"/>
  <c r="G76" i="2"/>
  <c r="G77" i="2"/>
  <c r="G78" i="2"/>
  <c r="G79" i="2"/>
  <c r="H72" i="2"/>
  <c r="H73" i="2"/>
  <c r="H74" i="2"/>
  <c r="H75" i="2"/>
  <c r="H76" i="2"/>
  <c r="H77" i="2"/>
  <c r="H78" i="2"/>
  <c r="H79" i="2"/>
  <c r="I72" i="2"/>
  <c r="I73" i="2"/>
  <c r="I74" i="2"/>
  <c r="I75" i="2"/>
  <c r="I76" i="2"/>
  <c r="I77" i="2"/>
  <c r="I78" i="2"/>
  <c r="I79" i="2"/>
  <c r="J72" i="2"/>
  <c r="J73" i="2"/>
  <c r="J74" i="2"/>
  <c r="J75" i="2"/>
  <c r="J76" i="2"/>
  <c r="J77" i="2"/>
  <c r="J78" i="2"/>
  <c r="J79" i="2"/>
  <c r="K72" i="2"/>
  <c r="K73" i="2"/>
  <c r="K74" i="2"/>
  <c r="K75" i="2"/>
  <c r="K76" i="2"/>
  <c r="K77" i="2"/>
  <c r="K78" i="2"/>
  <c r="K79" i="2"/>
  <c r="S72" i="2"/>
  <c r="S73" i="2"/>
  <c r="S74" i="2"/>
  <c r="S75" i="2"/>
  <c r="S76" i="2"/>
  <c r="S77" i="2"/>
  <c r="S78" i="2"/>
  <c r="S79" i="2"/>
  <c r="T72" i="2"/>
  <c r="T73" i="2"/>
  <c r="T74" i="2"/>
  <c r="T75" i="2"/>
  <c r="T76" i="2"/>
  <c r="T77" i="2"/>
  <c r="T78" i="2"/>
  <c r="T79" i="2"/>
  <c r="U72" i="2"/>
  <c r="U73" i="2"/>
  <c r="U74" i="2"/>
  <c r="U75" i="2"/>
  <c r="U76" i="2"/>
  <c r="U77" i="2"/>
  <c r="U78" i="2"/>
  <c r="U79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G35" i="2"/>
  <c r="G36" i="2"/>
  <c r="G37" i="2"/>
  <c r="H35" i="2"/>
  <c r="H36" i="2"/>
  <c r="H37" i="2"/>
  <c r="I35" i="2"/>
  <c r="I36" i="2"/>
  <c r="I37" i="2"/>
  <c r="J35" i="2"/>
  <c r="J36" i="2"/>
  <c r="J37" i="2"/>
  <c r="K35" i="2"/>
  <c r="K36" i="2"/>
  <c r="K37" i="2"/>
  <c r="S35" i="2"/>
  <c r="S36" i="2"/>
  <c r="S37" i="2"/>
  <c r="T35" i="2"/>
  <c r="T36" i="2"/>
  <c r="T37" i="2"/>
  <c r="U35" i="2"/>
  <c r="U36" i="2"/>
  <c r="U37" i="2"/>
  <c r="G28" i="2"/>
  <c r="G29" i="2"/>
  <c r="G30" i="2"/>
  <c r="G31" i="2"/>
  <c r="G32" i="2"/>
  <c r="G33" i="2"/>
  <c r="G34" i="2"/>
  <c r="H28" i="2"/>
  <c r="H29" i="2"/>
  <c r="H30" i="2"/>
  <c r="H31" i="2"/>
  <c r="H32" i="2"/>
  <c r="H33" i="2"/>
  <c r="H34" i="2"/>
  <c r="I28" i="2"/>
  <c r="I29" i="2"/>
  <c r="I30" i="2"/>
  <c r="I31" i="2"/>
  <c r="I32" i="2"/>
  <c r="I33" i="2"/>
  <c r="I34" i="2"/>
  <c r="J28" i="2"/>
  <c r="J29" i="2"/>
  <c r="J30" i="2"/>
  <c r="J31" i="2"/>
  <c r="J32" i="2"/>
  <c r="J33" i="2"/>
  <c r="J34" i="2"/>
  <c r="K28" i="2"/>
  <c r="K29" i="2"/>
  <c r="K30" i="2"/>
  <c r="K31" i="2"/>
  <c r="K32" i="2"/>
  <c r="K33" i="2"/>
  <c r="K34" i="2"/>
  <c r="S28" i="2"/>
  <c r="S29" i="2"/>
  <c r="S30" i="2"/>
  <c r="S31" i="2"/>
  <c r="S32" i="2"/>
  <c r="S33" i="2"/>
  <c r="S34" i="2"/>
  <c r="T28" i="2"/>
  <c r="T29" i="2"/>
  <c r="T30" i="2"/>
  <c r="T31" i="2"/>
  <c r="T32" i="2"/>
  <c r="T33" i="2"/>
  <c r="T34" i="2"/>
  <c r="U28" i="2"/>
  <c r="U29" i="2"/>
  <c r="U30" i="2"/>
  <c r="U31" i="2"/>
  <c r="U32" i="2"/>
  <c r="U33" i="2"/>
  <c r="U34" i="2"/>
  <c r="G18" i="2"/>
  <c r="G19" i="2"/>
  <c r="G20" i="2"/>
  <c r="G21" i="2"/>
  <c r="G22" i="2"/>
  <c r="G23" i="2"/>
  <c r="G24" i="2"/>
  <c r="G25" i="2"/>
  <c r="G26" i="2"/>
  <c r="G27" i="2"/>
  <c r="H18" i="2"/>
  <c r="H19" i="2"/>
  <c r="H20" i="2"/>
  <c r="H21" i="2"/>
  <c r="H22" i="2"/>
  <c r="H23" i="2"/>
  <c r="H24" i="2"/>
  <c r="H25" i="2"/>
  <c r="H26" i="2"/>
  <c r="H27" i="2"/>
  <c r="I18" i="2"/>
  <c r="I19" i="2"/>
  <c r="I20" i="2"/>
  <c r="I21" i="2"/>
  <c r="I22" i="2"/>
  <c r="I23" i="2"/>
  <c r="I24" i="2"/>
  <c r="I25" i="2"/>
  <c r="I26" i="2"/>
  <c r="I27" i="2"/>
  <c r="J18" i="2"/>
  <c r="J19" i="2"/>
  <c r="J20" i="2"/>
  <c r="J21" i="2"/>
  <c r="J22" i="2"/>
  <c r="J23" i="2"/>
  <c r="J24" i="2"/>
  <c r="J25" i="2"/>
  <c r="J26" i="2"/>
  <c r="J27" i="2"/>
  <c r="K18" i="2"/>
  <c r="K19" i="2"/>
  <c r="K20" i="2"/>
  <c r="K21" i="2"/>
  <c r="K22" i="2"/>
  <c r="K23" i="2"/>
  <c r="K24" i="2"/>
  <c r="K25" i="2"/>
  <c r="K26" i="2"/>
  <c r="K27" i="2"/>
  <c r="S18" i="2"/>
  <c r="S19" i="2"/>
  <c r="S20" i="2"/>
  <c r="S21" i="2"/>
  <c r="S22" i="2"/>
  <c r="S23" i="2"/>
  <c r="S24" i="2"/>
  <c r="S25" i="2"/>
  <c r="S26" i="2"/>
  <c r="S27" i="2"/>
  <c r="T18" i="2"/>
  <c r="T19" i="2"/>
  <c r="T20" i="2"/>
  <c r="T21" i="2"/>
  <c r="T22" i="2"/>
  <c r="T23" i="2"/>
  <c r="T24" i="2"/>
  <c r="T25" i="2"/>
  <c r="T26" i="2"/>
  <c r="T27" i="2"/>
  <c r="U18" i="2"/>
  <c r="U19" i="2"/>
  <c r="U20" i="2"/>
  <c r="U21" i="2"/>
  <c r="U22" i="2"/>
  <c r="U23" i="2"/>
  <c r="U24" i="2"/>
  <c r="U25" i="2"/>
  <c r="U26" i="2"/>
  <c r="U2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G2" i="2"/>
  <c r="H2" i="2"/>
  <c r="I2" i="2"/>
  <c r="J2" i="2"/>
  <c r="K2" i="2"/>
  <c r="S2" i="2"/>
  <c r="T2" i="2"/>
  <c r="U2" i="2"/>
  <c r="J24" i="1" l="1"/>
  <c r="I24" i="1" s="1"/>
  <c r="J25" i="1"/>
  <c r="I25" i="1" s="1"/>
  <c r="J26" i="1"/>
  <c r="I26" i="1" s="1"/>
  <c r="J27" i="1"/>
  <c r="I27" i="1" s="1"/>
  <c r="J28" i="1"/>
  <c r="I28" i="1" s="1"/>
  <c r="J29" i="1"/>
  <c r="I29" i="1" s="1"/>
  <c r="J30" i="1"/>
  <c r="I30" i="1" s="1"/>
  <c r="J31" i="1"/>
  <c r="I31" i="1" s="1"/>
  <c r="J32" i="1"/>
  <c r="I32" i="1" s="1"/>
  <c r="J33" i="1"/>
  <c r="I33" i="1" s="1"/>
  <c r="J34" i="1"/>
  <c r="I34" i="1" s="1"/>
  <c r="J35" i="1"/>
  <c r="I35" i="1" s="1"/>
  <c r="J2" i="3" l="1"/>
  <c r="W9" i="4"/>
  <c r="W3" i="4"/>
  <c r="W10" i="4"/>
  <c r="W11" i="4"/>
  <c r="W12" i="4"/>
  <c r="W5" i="4"/>
  <c r="W17" i="4"/>
  <c r="F2" i="6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</calcChain>
</file>

<file path=xl/connections.xml><?xml version="1.0" encoding="utf-8"?>
<connections xmlns="http://schemas.openxmlformats.org/spreadsheetml/2006/main">
  <connection id="1" keepAlive="1" name="ThisWorkbookDataModel" description="Modelo de Dad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Estratificação 2.0.xlsx!Tabela1" type="102" refreshedVersion="5" minRefreshableVersion="5">
    <extLst>
      <ext xmlns:x15="http://schemas.microsoft.com/office/spreadsheetml/2010/11/main" uri="{DE250136-89BD-433C-8126-D09CA5730AF9}">
        <x15:connection id="Tabela1-6a7183f4-fb78-4016-bf43-c685a2b1b100" autoDelete="1">
          <x15:rangePr sourceName="_xlcn.WorksheetConnection_Estratificação2.0.xlsxTabela1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ThisWorkbookDataModel"/>
    <s v="{[Tabela1].[Turno].[All]}"/>
    <s v="{[Tabela1].[Natureza].[All]}"/>
    <s v="{[Tabela1].[Dia].[All]}"/>
    <s v="{[Tabela1].[Mês].[All]}"/>
    <s v="{[Tabela1].[Ano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<sst xmlns="http://schemas.openxmlformats.org/spreadsheetml/2006/main" count="2103" uniqueCount="574">
  <si>
    <t>Nr</t>
  </si>
  <si>
    <t>TAG</t>
  </si>
  <si>
    <t>EQUIPAMENTO</t>
  </si>
  <si>
    <t>SETOR</t>
  </si>
  <si>
    <t>TURNO</t>
  </si>
  <si>
    <t>TEMPO DE PRODUÇÃO</t>
  </si>
  <si>
    <t>MATRÍCULA</t>
  </si>
  <si>
    <t>NOME</t>
  </si>
  <si>
    <t>NOME COMPLETO</t>
  </si>
  <si>
    <t>CARGO</t>
  </si>
  <si>
    <t>TIPO DA CAUSA</t>
  </si>
  <si>
    <t>M01</t>
  </si>
  <si>
    <t>INJETORA CANON</t>
  </si>
  <si>
    <t>UTE-01</t>
  </si>
  <si>
    <t>1º</t>
  </si>
  <si>
    <t>ALBERTO</t>
  </si>
  <si>
    <t>ALBERTO REINALDO DE JESUS FILHO</t>
  </si>
  <si>
    <t>ANALISTA DE MANUTENCAO</t>
  </si>
  <si>
    <t>2º</t>
  </si>
  <si>
    <t>A</t>
  </si>
  <si>
    <t>INFLUENCIA EXTERNA</t>
  </si>
  <si>
    <t>M02</t>
  </si>
  <si>
    <t>INJETORA LEV CELL</t>
  </si>
  <si>
    <t>A. FERNANDO</t>
  </si>
  <si>
    <t>ANTONIO FERNANDO DA SILVA</t>
  </si>
  <si>
    <t>TECNICO MANUTENCAO MECANICA</t>
  </si>
  <si>
    <t>B</t>
  </si>
  <si>
    <t>PEÇA DE REPOSIÇÃO INADEQUADA</t>
  </si>
  <si>
    <t>M03</t>
  </si>
  <si>
    <t>LAMINADORA</t>
  </si>
  <si>
    <t>3º</t>
  </si>
  <si>
    <t>DAVID</t>
  </si>
  <si>
    <t>DAVID ALLAN NEVES DA SILVA</t>
  </si>
  <si>
    <t>ASSISTENTE DE MANUTENÇÃO</t>
  </si>
  <si>
    <t>C</t>
  </si>
  <si>
    <t>FALHA EM COMPONENTES ELETRONICO</t>
  </si>
  <si>
    <t>M04</t>
  </si>
  <si>
    <t>EDUARDO</t>
  </si>
  <si>
    <t>EDUARDO CARLOS SILVERIO DA SILVA</t>
  </si>
  <si>
    <t>MECANICO DE MANUTENCAO</t>
  </si>
  <si>
    <t>D</t>
  </si>
  <si>
    <t>FALHA DE SOFTWARE</t>
  </si>
  <si>
    <t>M06</t>
  </si>
  <si>
    <t>INJETORA</t>
  </si>
  <si>
    <t>UTE-02</t>
  </si>
  <si>
    <t>E</t>
  </si>
  <si>
    <t>FALTA DE CONHECIMENTO DO MANUTENEDOR</t>
  </si>
  <si>
    <t>M07</t>
  </si>
  <si>
    <t>PRENSA MOLDAGEM INNER DASH</t>
  </si>
  <si>
    <t>FELIPE</t>
  </si>
  <si>
    <t>FELIPE BRAZ DA SILVA SANTANA</t>
  </si>
  <si>
    <t>F</t>
  </si>
  <si>
    <t>ERRO DO MANUTENEDOR</t>
  </si>
  <si>
    <t>M08</t>
  </si>
  <si>
    <t>PRENSA CORTE INNER DASH</t>
  </si>
  <si>
    <t>JEAZI</t>
  </si>
  <si>
    <t>JEAZI DA SILVA BARROS</t>
  </si>
  <si>
    <t>G</t>
  </si>
  <si>
    <t>FALTA DE CONHECIMENTO DO OPERADOR</t>
  </si>
  <si>
    <t>M09</t>
  </si>
  <si>
    <t>PRENSA CORTE INNER DASH 4X4</t>
  </si>
  <si>
    <t>JOSINALDO</t>
  </si>
  <si>
    <t xml:space="preserve">JOSINALDO OLIVEIRA </t>
  </si>
  <si>
    <t>TECNICO MANUTENCAO ELETRICA</t>
  </si>
  <si>
    <t>H</t>
  </si>
  <si>
    <t>ERRO DO OPERADOR</t>
  </si>
  <si>
    <t>M10</t>
  </si>
  <si>
    <t>PRENSA COM INJEÇÃO PU INNER 01</t>
  </si>
  <si>
    <t>PERCIVAL</t>
  </si>
  <si>
    <t>PERCIVAL LOBOS</t>
  </si>
  <si>
    <t>ESPECIALISTA DE MANUTENCAO</t>
  </si>
  <si>
    <t>I</t>
  </si>
  <si>
    <t>FRAGILIDADE DO PROJETO</t>
  </si>
  <si>
    <t>M11</t>
  </si>
  <si>
    <t>PRENSA COM INJEÇÃO PU INNER 02</t>
  </si>
  <si>
    <t>RAFAEL</t>
  </si>
  <si>
    <t>RAFAEL DE OLIVEIRA FREITAS</t>
  </si>
  <si>
    <t>J</t>
  </si>
  <si>
    <t>ERRO DURANTE A CONSTRUÇÃO DO EQUIPAMENTO</t>
  </si>
  <si>
    <t>M12</t>
  </si>
  <si>
    <t>PRENSA COM INJEÇÃO PU INNER 03</t>
  </si>
  <si>
    <t>ROBERT</t>
  </si>
  <si>
    <t>ROBERT SANTOS DA SILVA</t>
  </si>
  <si>
    <t>K</t>
  </si>
  <si>
    <t>ERRO DURANTE A INSTALAÇÃO DO EQUIPAMENTO</t>
  </si>
  <si>
    <t>M13</t>
  </si>
  <si>
    <t>INJETORA INNER DASH</t>
  </si>
  <si>
    <t>RUIGUENS</t>
  </si>
  <si>
    <t>RUIGUENS PIMENTEL DE PAULA</t>
  </si>
  <si>
    <t>L</t>
  </si>
  <si>
    <t>MANUTENÇÃO PREVENTIVA INSUFICIENTE</t>
  </si>
  <si>
    <t>M14</t>
  </si>
  <si>
    <t>TERMOFORMAGEM GLASUTEC</t>
  </si>
  <si>
    <t>UTE-03</t>
  </si>
  <si>
    <t>SILVIO</t>
  </si>
  <si>
    <t>SILVIO JANUARIO SILVA</t>
  </si>
  <si>
    <t>M</t>
  </si>
  <si>
    <t>NÃO CUMPRIMENTO DO PLANO PREVENTIVO</t>
  </si>
  <si>
    <t>M15</t>
  </si>
  <si>
    <t>PRENSA MOLDAGEM 1</t>
  </si>
  <si>
    <t>VALDEMAR</t>
  </si>
  <si>
    <t>VALDEMAR ROSEMIRO DO MONTE NETO</t>
  </si>
  <si>
    <t>N</t>
  </si>
  <si>
    <t>ATIVIDADE PREVENTIVA NÃO PROGRAMADA</t>
  </si>
  <si>
    <t>M16</t>
  </si>
  <si>
    <t>PRENSA MOLDAGEM 2</t>
  </si>
  <si>
    <t>GENILSON</t>
  </si>
  <si>
    <t>GENILSON JESUS DOS SANTOS</t>
  </si>
  <si>
    <t>ESPECIALISTA ELETRICA</t>
  </si>
  <si>
    <t>1°</t>
  </si>
  <si>
    <t>O</t>
  </si>
  <si>
    <t>NÃO OBSERVAÇÃO DOS PARÂMETROS DE FUNCIONAMENTO DO EQUIPAMENTO</t>
  </si>
  <si>
    <t>M17</t>
  </si>
  <si>
    <t>ROBÔ ABB APLIC. COLA DO TETO</t>
  </si>
  <si>
    <t>ELIAS</t>
  </si>
  <si>
    <t>ELIAS ALFREDO DOS SANTOS</t>
  </si>
  <si>
    <t>P</t>
  </si>
  <si>
    <t xml:space="preserve">EQUIPAMENTO TRABALHANDO COM CARGA EXCESSIVA </t>
  </si>
  <si>
    <t>M18</t>
  </si>
  <si>
    <t>FORNO DO TETO</t>
  </si>
  <si>
    <t>CRISTIANO</t>
  </si>
  <si>
    <t>CRISTIANO JOSE DE BRITO</t>
  </si>
  <si>
    <t>Q</t>
  </si>
  <si>
    <t>PRODUTO FORA DE ESPECIFICAÇÃO</t>
  </si>
  <si>
    <t>M19</t>
  </si>
  <si>
    <t>PRENSA ACOPL. TECIDO DO TETO 1</t>
  </si>
  <si>
    <t>DANILLO</t>
  </si>
  <si>
    <t>DANILLO NEVES DE VASCONCELOS</t>
  </si>
  <si>
    <t>R</t>
  </si>
  <si>
    <t>FALHA DE MANUTENÇÃO DAS CONDIÇÕE  DE BASE</t>
  </si>
  <si>
    <t>M20</t>
  </si>
  <si>
    <t>PRENSA ACOPL. TECIDO DO TETO 2</t>
  </si>
  <si>
    <t>ANDERSON</t>
  </si>
  <si>
    <t>ANDERSON SILVEIRA DE LIMA</t>
  </si>
  <si>
    <t>S</t>
  </si>
  <si>
    <t>NÃO CUMPRIMENTO DA CIL-R</t>
  </si>
  <si>
    <t>M21</t>
  </si>
  <si>
    <t>PRENSA DE CORTE DO TETO</t>
  </si>
  <si>
    <t>CARLTON FERREIRA LIMA</t>
  </si>
  <si>
    <t>T</t>
  </si>
  <si>
    <t>TESTE</t>
  </si>
  <si>
    <t>M22</t>
  </si>
  <si>
    <t>CORTE DO TETO  - WATER JET 2</t>
  </si>
  <si>
    <t>JOSÉ</t>
  </si>
  <si>
    <t>JOSÉ LUIZ FREIRE NETO</t>
  </si>
  <si>
    <t>M23</t>
  </si>
  <si>
    <t>VIROLA DO TETO 521</t>
  </si>
  <si>
    <t>RONALDO</t>
  </si>
  <si>
    <t>RONALDO LUIZ DA SILVA</t>
  </si>
  <si>
    <t>M24</t>
  </si>
  <si>
    <t>PRENSA ACOPLAGEM CARPETE</t>
  </si>
  <si>
    <t>UTE-04</t>
  </si>
  <si>
    <t>M25</t>
  </si>
  <si>
    <t>PRENSA DE CORTE TPO E BATE-PÉ</t>
  </si>
  <si>
    <t>M26</t>
  </si>
  <si>
    <t xml:space="preserve">VIROLA </t>
  </si>
  <si>
    <t>M27</t>
  </si>
  <si>
    <t>PRENSA DE ACOPLAGEM TPO</t>
  </si>
  <si>
    <t>M28</t>
  </si>
  <si>
    <t>PRENSA TERMOFORMAGEM</t>
  </si>
  <si>
    <t>M29</t>
  </si>
  <si>
    <t xml:space="preserve">PRENSA CORTE PARCEL SHELF </t>
  </si>
  <si>
    <t>M30</t>
  </si>
  <si>
    <t>PRENSA MOLDAGEM HOOD</t>
  </si>
  <si>
    <t>M31</t>
  </si>
  <si>
    <t>FORNO DE CONTATO</t>
  </si>
  <si>
    <t>M32</t>
  </si>
  <si>
    <t>PRENSA MOLDAGEM TUNNEL</t>
  </si>
  <si>
    <t>M33</t>
  </si>
  <si>
    <t>PRENSA CORTE TUNNEL</t>
  </si>
  <si>
    <t>M34</t>
  </si>
  <si>
    <t>PRENSA MOLDAGEM ALUMINIO</t>
  </si>
  <si>
    <t>M35</t>
  </si>
  <si>
    <t>PRENSA DE MOLDAGEM CARPETE</t>
  </si>
  <si>
    <t>UTE-05</t>
  </si>
  <si>
    <t>M36</t>
  </si>
  <si>
    <t>PRENSA SOLDA BATE PÉ</t>
  </si>
  <si>
    <t>M37</t>
  </si>
  <si>
    <t>PRENSA COM INJEÇÃO PU 1</t>
  </si>
  <si>
    <t>M38</t>
  </si>
  <si>
    <t>PRENSA COM INJEÇÃO PU 2</t>
  </si>
  <si>
    <t>M39</t>
  </si>
  <si>
    <t>PRENSA COM INJEÇÃO PU 3</t>
  </si>
  <si>
    <t>M40</t>
  </si>
  <si>
    <t>INJETORA CARPETE</t>
  </si>
  <si>
    <t>M41</t>
  </si>
  <si>
    <t>CORTE DO CARPETE- WATER JET</t>
  </si>
  <si>
    <t>M42</t>
  </si>
  <si>
    <t>CO-VM-226</t>
  </si>
  <si>
    <t>COLEIRO VALCO MELTON (TETO 226)</t>
  </si>
  <si>
    <t>CO-VM-521</t>
  </si>
  <si>
    <t>COLEIRO VALCO MELTON (TETO 521)</t>
  </si>
  <si>
    <t>CO-MM-551.1</t>
  </si>
  <si>
    <t>COLEIRO MAK MELT (TETO 551)</t>
  </si>
  <si>
    <t>CO-MM-551.2</t>
  </si>
  <si>
    <t>AQ-01-UTE-02</t>
  </si>
  <si>
    <t>AQUECEDOR DE ÓLEO TÉRMICO</t>
  </si>
  <si>
    <t>AQ-02-UTE-02</t>
  </si>
  <si>
    <t>AQ-03-UTE-03</t>
  </si>
  <si>
    <t>PRÉ AQUECIMENTO UTE-03</t>
  </si>
  <si>
    <t>AQ-04-UTE-03</t>
  </si>
  <si>
    <t>AQ-05-UTE-03</t>
  </si>
  <si>
    <t>AQ-06-UTE-03</t>
  </si>
  <si>
    <t>AQ-07-UTE-03</t>
  </si>
  <si>
    <t>AQ-08-UTE-03</t>
  </si>
  <si>
    <t>AQ-09-UTE-04</t>
  </si>
  <si>
    <t>PRÉ AQUECIMENTO UTE-04</t>
  </si>
  <si>
    <t>AQ-10-UTE-04</t>
  </si>
  <si>
    <t>AQ-11-UTE-04</t>
  </si>
  <si>
    <t>AQ-12-UTE-04</t>
  </si>
  <si>
    <t>AQ-13-UTE-05</t>
  </si>
  <si>
    <t>AQ-14-UTE-05</t>
  </si>
  <si>
    <t>AQ-15-SPA-05</t>
  </si>
  <si>
    <t>SPARE PARTS</t>
  </si>
  <si>
    <t>AQ-16-SPA-05</t>
  </si>
  <si>
    <t>AQ-17-SPA-05</t>
  </si>
  <si>
    <t>AQ-18-SPA-05</t>
  </si>
  <si>
    <t>FUNÇÃO</t>
  </si>
  <si>
    <t>CAIO TACIO MELO LIMA</t>
  </si>
  <si>
    <t>PLANEJADOR DE MANUTENCAO</t>
  </si>
  <si>
    <t>ADM</t>
  </si>
  <si>
    <t>N° Os</t>
  </si>
  <si>
    <t>Data</t>
  </si>
  <si>
    <t>Manut 1</t>
  </si>
  <si>
    <t>Manut 2</t>
  </si>
  <si>
    <t>Manut 3</t>
  </si>
  <si>
    <t>Turno</t>
  </si>
  <si>
    <t>Tag</t>
  </si>
  <si>
    <t>Natureza</t>
  </si>
  <si>
    <t>Tempo Parada</t>
  </si>
  <si>
    <t>Tempo Setup</t>
  </si>
  <si>
    <t>Cód. Causa</t>
  </si>
  <si>
    <t>Falha</t>
  </si>
  <si>
    <t>Tipo de Causa</t>
  </si>
  <si>
    <t xml:space="preserve">Setor </t>
  </si>
  <si>
    <t>Equipamento</t>
  </si>
  <si>
    <t>Mat. 1</t>
  </si>
  <si>
    <t>Mat. 2</t>
  </si>
  <si>
    <t>Mat. 3</t>
  </si>
  <si>
    <t>Mat. 4</t>
  </si>
  <si>
    <t>M45</t>
  </si>
  <si>
    <t>M43</t>
  </si>
  <si>
    <t>M44</t>
  </si>
  <si>
    <t>ColeiroV.Melto-226</t>
  </si>
  <si>
    <t>ColeiroV.Melto-521</t>
  </si>
  <si>
    <t>ColeiroM.Melt-551</t>
  </si>
  <si>
    <t>ColeiroUTE4</t>
  </si>
  <si>
    <t>Intensif.M22</t>
  </si>
  <si>
    <t>Intensif.M41</t>
  </si>
  <si>
    <t>Intensif.M42</t>
  </si>
  <si>
    <t>Serralheria</t>
  </si>
  <si>
    <t>Aquece.Óleo</t>
  </si>
  <si>
    <t>Aquecedores</t>
  </si>
  <si>
    <t>Aquece.Água</t>
  </si>
  <si>
    <t>UTE</t>
  </si>
  <si>
    <t>MECÂNICA</t>
  </si>
  <si>
    <t>ELÉTRICA</t>
  </si>
  <si>
    <t>SETUP</t>
  </si>
  <si>
    <t>PROGRAMADA</t>
  </si>
  <si>
    <t>REPARO DA SERPENTINA</t>
  </si>
  <si>
    <t>TROCA DA SAFIRA</t>
  </si>
  <si>
    <t>INDICADORES</t>
  </si>
  <si>
    <t>MTTR</t>
  </si>
  <si>
    <t>MTBF</t>
  </si>
  <si>
    <t>MÊS:</t>
  </si>
  <si>
    <t>ANO:</t>
  </si>
  <si>
    <t xml:space="preserve">TURNO: </t>
  </si>
  <si>
    <t>DIA:</t>
  </si>
  <si>
    <t>JAN</t>
  </si>
  <si>
    <t>Mttr</t>
  </si>
  <si>
    <t>Mtbf</t>
  </si>
  <si>
    <t>HH</t>
  </si>
  <si>
    <t>Disponibilidade</t>
  </si>
  <si>
    <t>min</t>
  </si>
  <si>
    <t>hrs</t>
  </si>
  <si>
    <t>MÁQUINAS</t>
  </si>
  <si>
    <t>TECNOLOGIA</t>
  </si>
  <si>
    <t>PUR Foaming molding</t>
  </si>
  <si>
    <t>LWF Block foaming</t>
  </si>
  <si>
    <t>Carpet molding</t>
  </si>
  <si>
    <t>Hot pressing</t>
  </si>
  <si>
    <t>M32M33</t>
  </si>
  <si>
    <t>Waterjet</t>
  </si>
  <si>
    <t>Tec.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</si>
  <si>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</si>
  <si>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</si>
  <si>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</si>
  <si>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</si>
  <si>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</si>
  <si>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</si>
  <si>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</si>
  <si>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</si>
  <si>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</si>
  <si>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</si>
  <si>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</si>
  <si>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</si>
  <si>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</si>
  <si>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</si>
  <si>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</si>
  <si>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</si>
  <si>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</si>
  <si>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</si>
  <si>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</si>
  <si>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</si>
  <si>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</si>
  <si>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</si>
  <si>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</si>
  <si>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</si>
  <si>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Adler Pelzer Group</t>
  </si>
  <si>
    <t>Total Geral</t>
  </si>
  <si>
    <t>Rótulos de Linha</t>
  </si>
  <si>
    <t>Soma de Tempo Parada</t>
  </si>
  <si>
    <t>All</t>
  </si>
  <si>
    <t>ELÉTRICO</t>
  </si>
  <si>
    <t>AJUSTE DOS SENSORES</t>
  </si>
  <si>
    <t>AJUSTE NO ATUADOR E IMÂ MESA 1</t>
  </si>
  <si>
    <t>MECÂNICO</t>
  </si>
  <si>
    <t>PREVENTIVA DO MOTOR</t>
  </si>
  <si>
    <t>FEITO PREVENTIVA DO MOTOR</t>
  </si>
  <si>
    <t>MONTAGEM 226</t>
  </si>
  <si>
    <t>LIMPEZA DO BLOCO</t>
  </si>
  <si>
    <t>FEITO REPOSIÇÃO DOS RELÉS</t>
  </si>
  <si>
    <t>RESET DO EQUIPAMENTO</t>
  </si>
  <si>
    <t>REABASTECIMENTO DE ÓLEO</t>
  </si>
  <si>
    <t>TROCA DA MANGUEIRA</t>
  </si>
  <si>
    <t>TROCA DO SENSOR DA GARRA 3</t>
  </si>
  <si>
    <t>AJUSTE DO PROGRAMA 598</t>
  </si>
  <si>
    <t>REAPERTO DO BLOCO DA SERPENTINA</t>
  </si>
  <si>
    <t>-</t>
  </si>
  <si>
    <t>AJUSTE DA PISTOLA</t>
  </si>
  <si>
    <t>TROCA DE CONEXÃO</t>
  </si>
  <si>
    <t>DESTRAVAMENTO DO FENDER</t>
  </si>
  <si>
    <t>ALINHAMENTO DA BARREIRA DE LUZ</t>
  </si>
  <si>
    <t>REALIZADO A TROCA DO REPARO DA CANETA</t>
  </si>
  <si>
    <t>DESTRAVAMENTO DA FACA</t>
  </si>
  <si>
    <t>LIMPEZA DA CONTENÇÃO</t>
  </si>
  <si>
    <t>REARMADO DISJUNTOR</t>
  </si>
  <si>
    <t>TROCA DO MANÔMETRO E TROCA DA ANILHA</t>
  </si>
  <si>
    <t>AJUSTE NO SSENSORES DO SITEMA</t>
  </si>
  <si>
    <t>RECUPERADO O CABO PARTIDO</t>
  </si>
  <si>
    <t>FEITO ADAPTAÇÃO NA CAIXA DE BINÁRIO E SUBSTITUIDO OS RELÉS</t>
  </si>
  <si>
    <t>SUBSTITUIDO OS RELÉS</t>
  </si>
  <si>
    <t>AJUSTE NOS SENSORES</t>
  </si>
  <si>
    <t>FEITO LIMPEZA DA VÁLVULA DE ÁGUA</t>
  </si>
  <si>
    <t xml:space="preserve">CONEXÃO DO IBC DO POLIOL NÃO ESTA FUNCIONANDO </t>
  </si>
  <si>
    <t xml:space="preserve">SUBSTITUIDO A BOBINA DO RELÉ </t>
  </si>
  <si>
    <t xml:space="preserve">LIMPEZA NA SAÍDA DA VÁLVULA </t>
  </si>
  <si>
    <t>TROCA DO REPARO</t>
  </si>
  <si>
    <t>TROCADO DO REPARO DA AGULHA</t>
  </si>
  <si>
    <t>DESOBSTRUÇÃO DA CÂMARA DE MISTURA; SUBSTITUILÇAO DA MANGUIERA DE RETORNO; LIMPEZA DAS CONEXÕES E BLOCOS DO MATERIAL AGITADO</t>
  </si>
  <si>
    <t xml:space="preserve">VERIFICADO A LIMPEZA DA VÁLVULA E MIX DE MISTURA E REPOSCIONADO AS VÁLVULAS </t>
  </si>
  <si>
    <t>LIMPEZA DO GICLÊ</t>
  </si>
  <si>
    <t>FEITO DESLOCAMENTO DA HASTE NA BUCHA DO MIX</t>
  </si>
  <si>
    <t>FEITO A TROCA DO EMGATE</t>
  </si>
  <si>
    <t>TROCA DA CONEXÃO</t>
  </si>
  <si>
    <t>IDENTIFICADO RACHADURA NA PARTE DO CILINDRO</t>
  </si>
  <si>
    <t>REALIZADO A REPOSÇÃO DO CABEÇOTE</t>
  </si>
  <si>
    <t>LIMPEZA E AJUSTE NA BARRERIA DE LUZ</t>
  </si>
  <si>
    <t>REFERENCIAMENTO DAS MESAS</t>
  </si>
  <si>
    <t>NÍVEL DE ÓLEO COMPLETADO</t>
  </si>
  <si>
    <t>SUBSTITUIDO A MAGUEIRA DO ATUADOR E DESOBSTRUIDO AS VÁLVUALS E CONEXÕES</t>
  </si>
  <si>
    <t>FECHADO A PORTA PARA NORMALIZAÇÃO DE TEMPERATURA</t>
  </si>
  <si>
    <t>LIMPEZA NA LINHA DO RETORNO</t>
  </si>
  <si>
    <t>MESA 521</t>
  </si>
  <si>
    <t>COLOCADO BASE NO LUGAR</t>
  </si>
  <si>
    <t xml:space="preserve">LIMPEZA NO BICO </t>
  </si>
  <si>
    <t>MESA 226</t>
  </si>
  <si>
    <t>TROCADO O PARAFUSO E OS ESPAÇADORES</t>
  </si>
  <si>
    <t>COLEIRO 551</t>
  </si>
  <si>
    <t>LIMPEZA NO BICO DA PISTOLA DE COLA</t>
  </si>
  <si>
    <t>COMPLETADO NÍVEL DE ÓLEO</t>
  </si>
  <si>
    <t>AJUSTE NO GATILHO DA PISTOLA</t>
  </si>
  <si>
    <t>p</t>
  </si>
  <si>
    <t>REPOSICIONADO O CABO</t>
  </si>
  <si>
    <t>SUBSTITUIDO 3 CONETORES DA RESISTÊNCIA</t>
  </si>
  <si>
    <t>RESET DO INVERSOR DE FREQUÊNCIA</t>
  </si>
  <si>
    <t>RECOLOCADO A HASTE DO CILINDRO</t>
  </si>
  <si>
    <t>MONTAGEM E LIMPEZA DAS BOMBAS</t>
  </si>
  <si>
    <t>DESTRAVAMENTO DA PRENÇA</t>
  </si>
  <si>
    <t>REPOSICIONAMENTO DA MESA</t>
  </si>
  <si>
    <t>FEITO LIMPEZA NA REGIÃO DE SOLDA DO DESCANSO DO BATE-PÉ</t>
  </si>
  <si>
    <t>CALIBRAÇÃO E ATUALIZAÇÃO DOS EIXOS 1 E6</t>
  </si>
  <si>
    <t>CALIBRAÇÃO DOS EIXOS</t>
  </si>
  <si>
    <t>VAZAMENTO DE AGUA NA SERPENTINA DO ROBO 2</t>
  </si>
  <si>
    <t>TROCA DAS MANGUIERAS; LIMPEZA DAS CONEXÕES E DA VÁLVULA DO ATUADOR</t>
  </si>
  <si>
    <t>DESTRAVAMENTO DA MÁQUIMA</t>
  </si>
  <si>
    <t>AJUSTE NO SENSOR DO CILINDRO</t>
  </si>
  <si>
    <t>AJUSTE NA FREQUÊNCIA DO INVERSOR</t>
  </si>
  <si>
    <t>DESOBSTRUÇÃO DO GICLÊ</t>
  </si>
  <si>
    <t>DESTRAVAMENTO DA HASTE DE LIMPEZA</t>
  </si>
  <si>
    <t>TROCA DO REAPRO DA TUBULAÇÃO</t>
  </si>
  <si>
    <t>ABASTECIMENTO DA PRENSA</t>
  </si>
  <si>
    <t>REALIZADA LIMPEZA DA VÁLVULA DO ATIVADOR</t>
  </si>
  <si>
    <t>REPOSICIONAMENTO DAS VÁLVULAS E SUBSTITUIÇÃO DAS MANGUEIRAS DO ATUADOR</t>
  </si>
  <si>
    <t>DESMONTADO E LUBRIFICADO A VÁLVULA DE ATUAÇÃO DO CILINDRO</t>
  </si>
  <si>
    <t>LIGADO MEXEDOR NO IHM</t>
  </si>
  <si>
    <t>RETIRADO AR DA LINHA E DESTRVADO AS VÁLVULAS</t>
  </si>
  <si>
    <t>SUBSTITUIÇÃO DOS CONECTORES DA RESISTÊNCIA</t>
  </si>
  <si>
    <t>REFEITA A TUBULAÇÃO HIDRÁULICA</t>
  </si>
  <si>
    <t>LIMPEZA NO PAINEL ELÉTRICO</t>
  </si>
  <si>
    <t>PRÉ-AQUECIMENTO</t>
  </si>
  <si>
    <t>SUBSTITUIÇÃO DA MANGUEIRA</t>
  </si>
  <si>
    <t>LIMPEZA NO BLOBO DA PISTOLA</t>
  </si>
  <si>
    <t>TROCA DO CABO DO SENSOR EIXO DE LIMPEZA</t>
  </si>
  <si>
    <t>PILOTAGEM DA VÁLVULA</t>
  </si>
  <si>
    <t>COLEIRO 521</t>
  </si>
  <si>
    <t>LIMPEZA NA AGULHA</t>
  </si>
  <si>
    <t>TROCA DA AGULHA E DO OCNJUNTO DE VEDAÇÃO</t>
  </si>
  <si>
    <t>MAL CONTATO NO CABO DA VÁLVULA DO ROBÔ 2, COLOCADO ABRAÇADEIRA DE NYLON</t>
  </si>
  <si>
    <t>MESA 551</t>
  </si>
  <si>
    <t>LIMPEZA E REGULAGEM DA AGULHA DA PISTOLA DE COLA 521; PISTOLA 2</t>
  </si>
  <si>
    <t>TROCA DA MANGUEIRA E LIMPEZA DO BLOCO DE COLA</t>
  </si>
  <si>
    <t xml:space="preserve">TROCA DO CABO DO SENSOR </t>
  </si>
  <si>
    <t>FALHA NA CPU, FEITO LIMPEZA E REAPERTO</t>
  </si>
  <si>
    <t>DESOBSTRUÇÃO DA SAFIRA</t>
  </si>
  <si>
    <t>COLOCADO PISADOR NO LUGAR</t>
  </si>
  <si>
    <t>FALHA INTERMITENTE</t>
  </si>
  <si>
    <t>TROCA DO SENSOR E FIXAÇÃO DA BASE DO MESMO</t>
  </si>
  <si>
    <t>RESET</t>
  </si>
  <si>
    <t>ALINHAMENTO DA TUBULAÇÃO HIDRÁULICA</t>
  </si>
  <si>
    <t>BANDEJA DO ROBO DE COLA PASSANDO DIRETO</t>
  </si>
  <si>
    <t>TROCA DO KIT DA AGULHA COM VEDAÇÃO ORING DA PISTOLA 2</t>
  </si>
  <si>
    <t>COLEIRO 226</t>
  </si>
  <si>
    <t>AJUSTE NO CIRCUITO DE AQUECIMENTO DA PISTOLA</t>
  </si>
  <si>
    <t>REMOÇÃO DE FALHA NA SÉRIE DE EMERGÊNCIA</t>
  </si>
  <si>
    <t>TROCA DO ORING</t>
  </si>
  <si>
    <t>RESET NO CLP</t>
  </si>
  <si>
    <t>LIMPEZA NO BLOBO  E NO BICO DO ROBÔ</t>
  </si>
  <si>
    <t>FEITO AJUSTE NO SENSOR DO CILINDRO E REFERENCIADO O ROBÔ 1</t>
  </si>
  <si>
    <t>SUBSTITUIÇÃO DO FIM DE CURSO</t>
  </si>
  <si>
    <t>ACIONAMENTO MANUAL PARA DESTRAVAR A VÁLVULA DE MISTURA</t>
  </si>
  <si>
    <t>REALIZADO AJUSTE NAS PRESSÕES DO SISTEMA HIDRÁULICO</t>
  </si>
  <si>
    <t>SUBSTITUIÇÃO DA BOMBA DE ISSO</t>
  </si>
  <si>
    <t>AQUECEDOR NÃO ESTA EM AUTOMATICO</t>
  </si>
  <si>
    <t>SENSOR DO QUADRO DE GIRO NÃO ATUANDO</t>
  </si>
  <si>
    <t>RETIRADO O MANÔMETRO E COLOCADO UM TAMPÃO</t>
  </si>
  <si>
    <t>PALIATIVO COM AR PNEUMÁTICO</t>
  </si>
  <si>
    <t>FEITO TROCA DO SENSOR DO QUADRO DE GIRO</t>
  </si>
  <si>
    <t>REALIZADO AJUSTE NOS GICLÊS ISO E POLIOL</t>
  </si>
  <si>
    <t>REALIZADO A REGULAGEM DE PRESSÃO DE ISO</t>
  </si>
  <si>
    <t>CALIBRAGEM DO ROBÔ 1 E DA MESA; COLODO ROBÔ EM HOME</t>
  </si>
  <si>
    <t>RESET MA BARREIRA DE LUZ</t>
  </si>
  <si>
    <t>LIMPEZA NOS SENSORES DO SITEMA</t>
  </si>
  <si>
    <t>MAQUINA M15 LENTA AO DESCER E SE DESLIGAR</t>
  </si>
  <si>
    <t>FORAM EXTRAIDOS 3  PARAFUSOS E ABERTO ROSCA EM 4 FARAFUSOS NOVAMENTE E LIBREDADO PARA PRODUÇÃO</t>
  </si>
  <si>
    <t>AJUSTE NO SENSOR DA MESA 2</t>
  </si>
  <si>
    <t>TROCA DO RELÉ</t>
  </si>
  <si>
    <t>SUBSTITUIDO PARTE DA MANGUIERA E AS ABRAÇADEIRAS</t>
  </si>
  <si>
    <t>AJUSTE NA MESA</t>
  </si>
  <si>
    <t>COLEIRO CAIXA DE RODA</t>
  </si>
  <si>
    <t>AJUSTUDADO CABO E SENSOR PT-100</t>
  </si>
  <si>
    <t>SENSOR DE BLOQUEIO DA MAGAZINE NÃO ATUA</t>
  </si>
  <si>
    <t>TROCA DA CONEXÃO E AJUSTE NOS SENSORES</t>
  </si>
  <si>
    <t>TROCA DA MANGUEIRA E CONEXÃO</t>
  </si>
  <si>
    <t>LIMPEZA DA BOMBA DE RESINA</t>
  </si>
  <si>
    <t>REAPERO E LIMPEZA NA MANGUEIRA</t>
  </si>
  <si>
    <t>TROCA DO CILINDRO DO PRENSA FILME</t>
  </si>
  <si>
    <t>AJUSTE DA MESA E NO SENSOR</t>
  </si>
  <si>
    <t>FEITO SOLDA NO SUPORTE BAYPRESS</t>
  </si>
  <si>
    <t>M11/12</t>
  </si>
  <si>
    <t>MANGUEIRA ROMPIDA</t>
  </si>
  <si>
    <t>NÍVEL DE ÓLEO COMPLETADO E TROCA DO REPARO DA VÁLVULA</t>
  </si>
  <si>
    <t>LIMPEZA E ACOMPLANHMNETO</t>
  </si>
  <si>
    <t>FIXADO E AJUSTADO SENSOR DA MESA</t>
  </si>
  <si>
    <t>AJUSTE NO SENSOR</t>
  </si>
  <si>
    <t>SUBSTITUIÇÃO DO ORING E DO MÓDULO</t>
  </si>
  <si>
    <t>FEITO LIMPEZA</t>
  </si>
  <si>
    <t xml:space="preserve"> AJUSTE NO CORTE DO CARPETE</t>
  </si>
  <si>
    <t>VERIFICAÇÃO DE DEFEITO NA HIDRÁILICA</t>
  </si>
  <si>
    <t>MANGUEIRA DE SUCÇÃO DA BOMBA ESTAVA OBSTRUÍDA. FOI REALIZADO A TROCA DA MESMA</t>
  </si>
  <si>
    <t>M32/33</t>
  </si>
  <si>
    <t>TROCA DO ENGATE RÁPIDO</t>
  </si>
  <si>
    <t>SENSOR FORA DE POSIÇÃO E CILINDRO DANIFICADO</t>
  </si>
  <si>
    <t>RETIRADO O VAZAMENTO</t>
  </si>
  <si>
    <t>ALINHAMENTO DO MAGAZINE</t>
  </si>
  <si>
    <t>TROCA DA LÂMINA</t>
  </si>
  <si>
    <t>RETIRADO PARTE DA NIFICA DA MANGUEIRA</t>
  </si>
  <si>
    <t>RETIRADO ENTRADA DE AR</t>
  </si>
  <si>
    <t>TROCA DO ANEL DE VEDAÇÃO DO AVANÇO DO CILINDRO</t>
  </si>
  <si>
    <t>SUBSTITUIÇÃO DA SERPENTINA</t>
  </si>
  <si>
    <t>LIMPEZA DOS VENTILADORES DO INVERSOR DE FREQUÊNCIA</t>
  </si>
  <si>
    <t>COLEIRO 598</t>
  </si>
  <si>
    <t>GATILHO DA PISTOLA TRAVADO</t>
  </si>
  <si>
    <t>RESET DO RELÉ DE EMERGÊNCIA</t>
  </si>
  <si>
    <t>RETIRADO GUIA SUPERIOR E REPARA EM DOIS EMPURRADORES</t>
  </si>
  <si>
    <t>TROCA DO SENSOR</t>
  </si>
  <si>
    <t>LIBERADO ROBÔ DE COLA</t>
  </si>
  <si>
    <t>TROCA DAS DUAS SAFIRAS</t>
  </si>
  <si>
    <t>AJUSTE DA GARRA</t>
  </si>
  <si>
    <t>COLOCADO ROBÔ 2 EM HOME E RESETADO O ROBÔ</t>
  </si>
  <si>
    <t>COLOCADO ROBÔ 2 EM HOME</t>
  </si>
  <si>
    <t>REALIZAR INSTALAÇÃO DOS COPOS DO FILTRO INFRA PARA PULVERIZADORES PARTE ELETRICA</t>
  </si>
  <si>
    <t>FOI CORTADA A MANGUEIRA E RECOLOCADA</t>
  </si>
  <si>
    <t>LIMPEZA NA VÁLVULA B2 E MIX</t>
  </si>
  <si>
    <t>RETIRADA PARTE DANIFICADA DA MANGUEIRA</t>
  </si>
  <si>
    <t>AQUECEDOR</t>
  </si>
  <si>
    <t>RESET DO AQUECEDOR</t>
  </si>
  <si>
    <t xml:space="preserve">COLEIRO </t>
  </si>
  <si>
    <t>DESOBSTRUÇÃO DA PISTOLA DE COLA</t>
  </si>
  <si>
    <t>FEITO LIMPEZA NAS COOLERS DOS INVERSORES</t>
  </si>
  <si>
    <t>REAPERTO DA CONEXÃO DO BLOCO DA TUBULAÇÃO</t>
  </si>
  <si>
    <t>DEMORA NO FECHAMENTO DO FENDER</t>
  </si>
  <si>
    <t>TROCA DO REPARO DO ROBÔ E FIXADO A SERPENTINA</t>
  </si>
  <si>
    <t>TROCA DOS ROLAMENTOS</t>
  </si>
  <si>
    <t>SUBSTITUIÇÃO DA CHAVE SECSIONADORA</t>
  </si>
  <si>
    <t>TROCA DO PARAFUSO</t>
  </si>
  <si>
    <t>AJUSTE DO SENSOR</t>
  </si>
  <si>
    <t>TROCA DO MOTOR BOMBA; TROCA DAS CONEXÕES E TESTES</t>
  </si>
  <si>
    <t>TROCA DA ANILHA</t>
  </si>
  <si>
    <t>M41/M42</t>
  </si>
  <si>
    <t>APERTO DA PORCA DO BLOCO</t>
  </si>
  <si>
    <t>RESET NA FALHA DO INVERSOR</t>
  </si>
  <si>
    <t>MANGUEIRA DE AR DA BOMBA DE DESMOLDANTE FURADA SEM PRESSÃO BOMBA</t>
  </si>
  <si>
    <t>TROCA DA CONEXÃO PNEUMÁTICA</t>
  </si>
  <si>
    <t>ENFARDADEIRA</t>
  </si>
  <si>
    <t>VERIFICAR AVANÇO DA ENFARDADEIRA</t>
  </si>
  <si>
    <t>MANTAGEM DO CABEÇOTE M10</t>
  </si>
  <si>
    <t>MESA DE MONTAGEM TETO 226</t>
  </si>
  <si>
    <t>PARAFUSADEIRA DA MONTAGEM 226 NÃO ESTA PARAFUSANDO</t>
  </si>
  <si>
    <t>VIROLA TRAVADA</t>
  </si>
  <si>
    <t>FALHA NA BARREIRA DE LUZ</t>
  </si>
  <si>
    <t>TEMPERATURA DO COLEIRO 521 OSCILANDO</t>
  </si>
  <si>
    <t>VAZAMENTO DE AR NA PISTOLA DE COLA DA VIROLA DO 551</t>
  </si>
  <si>
    <t>VIROLA 521</t>
  </si>
  <si>
    <t>VIROLA DO 521 TRAVADA</t>
  </si>
  <si>
    <t>BAIXA VAZÃO DE COLA NA PISTOLA DA MONTAGEM DE TETO 226</t>
  </si>
  <si>
    <t>SAFIRA ESTOURADA ROBO 2</t>
  </si>
  <si>
    <t>REGULAGEM DO DESMOLDANTE</t>
  </si>
  <si>
    <t>BARREIRA DE 521 DESLIGANDO</t>
  </si>
  <si>
    <t>AUMENTO 1 SEGUNDO DO TEMPO DO DESMOLDANTE</t>
  </si>
  <si>
    <t>ABASTECIDO O TANQUE COM 40L DE ÓLEO 68</t>
  </si>
  <si>
    <t>RESETADO O ROBÔ PARA RETIRAR A FALHA</t>
  </si>
  <si>
    <t>LIMPEZA DO SCANER</t>
  </si>
  <si>
    <t>Contagem de Tempo Parada</t>
  </si>
  <si>
    <t>Dia</t>
  </si>
  <si>
    <t>Mês</t>
  </si>
  <si>
    <t>Ano</t>
  </si>
  <si>
    <t>(Tudo)</t>
  </si>
  <si>
    <t>Todos</t>
  </si>
  <si>
    <t>Tempo de Produção</t>
  </si>
  <si>
    <t>Hot Pressing</t>
  </si>
  <si>
    <t>Carpet Molding</t>
  </si>
  <si>
    <t>LWF Block Foaming</t>
  </si>
  <si>
    <t>PUR Foaming Molding</t>
  </si>
  <si>
    <t>Homem Hora</t>
  </si>
  <si>
    <t>Geral</t>
  </si>
  <si>
    <t>TEMPO DE SERVIÇO</t>
  </si>
  <si>
    <t>1º turno</t>
  </si>
  <si>
    <t>2º turno</t>
  </si>
  <si>
    <t>Manutencista</t>
  </si>
  <si>
    <t>Manut 4</t>
  </si>
  <si>
    <t>Soma de Tempo Setup</t>
  </si>
  <si>
    <t>Tempo</t>
  </si>
  <si>
    <t>serviceTimeTable</t>
  </si>
  <si>
    <t>SomaTempoParada</t>
  </si>
  <si>
    <t>SomaTempoSetup</t>
  </si>
  <si>
    <t>Tempo de Serviço</t>
  </si>
  <si>
    <t>Tipo</t>
  </si>
  <si>
    <t>CORRETIVA</t>
  </si>
  <si>
    <t>Setup Number</t>
  </si>
  <si>
    <t>S1007</t>
  </si>
  <si>
    <t>TSETSETSET</t>
  </si>
  <si>
    <t>S1008</t>
  </si>
  <si>
    <t>TESTETEVUYE</t>
  </si>
  <si>
    <t>S1009</t>
  </si>
  <si>
    <t>S1010</t>
  </si>
  <si>
    <t>0:00 hrs</t>
  </si>
  <si>
    <t>Outros</t>
  </si>
  <si>
    <t>Máquinas</t>
  </si>
  <si>
    <t>AVA</t>
  </si>
  <si>
    <t>Tec</t>
  </si>
  <si>
    <t>SomaTempoParadaInd</t>
  </si>
  <si>
    <t>ContagemTempoParadasInd</t>
  </si>
  <si>
    <t>tempo de parada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</si>
</sst>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0000"/>
    <numFmt numFmtId="165" formatCode="00"/>
    <numFmt numFmtId="166" formatCode="dd/mm/yy;@"/>
    <numFmt numFmtId="167" formatCode="###000"/>
    <numFmt numFmtId="168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8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sz val="11"/>
      <color rgb="FFFF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/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</cellStyleXfs>
  <cellXfs count="114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  <protection hidden="1"/>
    </xf>
    <xf numFmtId="164" fontId="4" fillId="0" borderId="1" xfId="0" applyNumberFormat="1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9" fillId="2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2" borderId="0" xfId="0" applyFill="1"/>
    <xf numFmtId="0" fontId="2" fillId="7" borderId="34" xfId="0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0" fillId="0" borderId="1" xfId="3" applyBorder="1" applyAlignment="1">
      <alignment horizontal="left" vertical="center"/>
    </xf>
    <xf numFmtId="0" fontId="1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 vertical="center"/>
    </xf>
    <xf numFmtId="0" fontId="0" fillId="0" borderId="35" xfId="0" applyBorder="1"/>
    <xf numFmtId="0" fontId="0" fillId="0" borderId="37" xfId="0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6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7" fillId="0" borderId="1" xfId="3" applyFont="1" applyBorder="1" applyAlignment="1">
      <alignment horizontal="center" vertical="center"/>
    </xf>
    <xf numFmtId="0" fontId="0" fillId="0" borderId="0" xfId="0" applyNumberFormat="1"/>
    <xf numFmtId="0" fontId="28" fillId="0" borderId="1" xfId="3" applyFont="1" applyBorder="1" applyAlignment="1">
      <alignment horizontal="center" vertical="center"/>
    </xf>
    <xf numFmtId="2" fontId="10" fillId="0" borderId="1" xfId="3" applyNumberFormat="1" applyBorder="1" applyAlignment="1">
      <alignment horizontal="center" vertical="center"/>
    </xf>
    <xf numFmtId="1" fontId="10" fillId="0" borderId="1" xfId="3" applyNumberFormat="1" applyBorder="1" applyAlignment="1">
      <alignment horizontal="center" vertical="center"/>
    </xf>
    <xf numFmtId="9" fontId="14" fillId="0" borderId="1" xfId="2" applyFont="1" applyBorder="1" applyAlignment="1">
      <alignment horizontal="left" vertical="center" wrapText="1"/>
    </xf>
    <xf numFmtId="2" fontId="14" fillId="0" borderId="1" xfId="0" applyNumberFormat="1" applyFont="1" applyBorder="1" applyAlignment="1">
      <alignment horizontal="left" vertical="center" wrapText="1"/>
    </xf>
    <xf numFmtId="0" fontId="28" fillId="0" borderId="0" xfId="3" applyFont="1" applyBorder="1" applyAlignment="1">
      <alignment horizontal="center" vertical="center"/>
    </xf>
    <xf numFmtId="1" fontId="10" fillId="0" borderId="0" xfId="3" applyNumberFormat="1" applyBorder="1" applyAlignment="1">
      <alignment horizontal="center" vertical="center"/>
    </xf>
    <xf numFmtId="2" fontId="10" fillId="0" borderId="1" xfId="3" applyNumberFormat="1" applyBorder="1" applyAlignment="1">
      <alignment horizontal="left" vertical="center"/>
    </xf>
    <xf numFmtId="0" fontId="2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5" fillId="7" borderId="37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38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9" fontId="20" fillId="0" borderId="29" xfId="2" applyFont="1" applyBorder="1" applyAlignment="1">
      <alignment horizontal="center" vertical="center"/>
    </xf>
    <xf numFmtId="9" fontId="20" fillId="0" borderId="0" xfId="2" applyFont="1" applyBorder="1" applyAlignment="1">
      <alignment horizontal="center" vertical="center"/>
    </xf>
    <xf numFmtId="9" fontId="20" fillId="0" borderId="30" xfId="2" applyFont="1" applyBorder="1" applyAlignment="1">
      <alignment horizontal="center" vertical="center"/>
    </xf>
    <xf numFmtId="9" fontId="20" fillId="0" borderId="31" xfId="2" applyFont="1" applyBorder="1" applyAlignment="1">
      <alignment horizontal="center" vertical="center"/>
    </xf>
    <xf numFmtId="9" fontId="20" fillId="0" borderId="32" xfId="2" applyFont="1" applyBorder="1" applyAlignment="1">
      <alignment horizontal="center" vertical="center"/>
    </xf>
    <xf numFmtId="9" fontId="20" fillId="0" borderId="33" xfId="2" applyFont="1" applyBorder="1" applyAlignment="1">
      <alignment horizontal="center" vertical="center"/>
    </xf>
    <xf numFmtId="0" fontId="19" fillId="0" borderId="36" xfId="0" applyFont="1" applyBorder="1" applyAlignment="1">
      <alignment horizontal="right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17" fillId="2" borderId="0" xfId="0" applyFont="1" applyFill="1" applyAlignment="1">
      <alignment horizontal="right"/>
    </xf>
    <xf numFmtId="0" fontId="13" fillId="2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 vertical="top"/>
    </xf>
    <xf numFmtId="168" fontId="16" fillId="2" borderId="0" xfId="0" applyNumberFormat="1" applyFont="1" applyFill="1" applyAlignment="1">
      <alignment horizontal="left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20" fontId="23" fillId="0" borderId="15" xfId="0" applyNumberFormat="1" applyFont="1" applyBorder="1" applyAlignment="1">
      <alignment horizontal="center" vertical="center"/>
    </xf>
    <xf numFmtId="20" fontId="23" fillId="0" borderId="16" xfId="0" applyNumberFormat="1" applyFont="1" applyBorder="1" applyAlignment="1">
      <alignment horizontal="center" vertical="center"/>
    </xf>
    <xf numFmtId="20" fontId="23" fillId="0" borderId="17" xfId="0" applyNumberFormat="1" applyFont="1" applyBorder="1" applyAlignment="1">
      <alignment horizontal="center" vertical="center"/>
    </xf>
    <xf numFmtId="0" fontId="24" fillId="3" borderId="4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</cellXfs>
  <cellStyles count="4">
    <cellStyle name="Normal" xfId="0" builtinId="0"/>
    <cellStyle name="Normal 2" xfId="3"/>
    <cellStyle name="Porcentagem" xfId="2" builtinId="5"/>
    <cellStyle name="Vírgula" xfId="1" builtinId="3"/>
  </cellStyles>
  <dxfs count="26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6" formatCode="dd/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[Estratificação 2.0.xlsm]Calculos!Top 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TOP</a:t>
            </a:r>
            <a:r>
              <a:rPr lang="en-US" baseline="0">
                <a:solidFill>
                  <a:schemeClr val="tx1"/>
                </a:solidFill>
              </a:rPr>
              <a:t> 10 - Máquinas Paradas</a:t>
            </a:r>
            <a:endParaRPr lang="en-US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7777777777777776E-2"/>
          <c:y val="0.15782407407407409"/>
          <c:w val="0.94907407407407407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Calculos!$I$7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\ &quot;min&quot;" sourceLinked="0"/>
            <c:spPr>
              <a:noFill/>
              <a:ln>
                <a:noFill/>
              </a:ln>
              <a:effectLst/>
            </c:spPr>
            <c:txPr>
              <a:bodyPr rot="-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Calculos!$H$8:$H$18</c:f>
              <c:strCache>
                <c:ptCount val="10"/>
                <c:pt idx="0">
                  <c:v>M17</c:v>
                </c:pt>
                <c:pt idx="1">
                  <c:v>M22</c:v>
                </c:pt>
                <c:pt idx="2">
                  <c:v>M16</c:v>
                </c:pt>
                <c:pt idx="3">
                  <c:v>M12</c:v>
                </c:pt>
                <c:pt idx="4">
                  <c:v>M41</c:v>
                </c:pt>
                <c:pt idx="5">
                  <c:v>M07</c:v>
                </c:pt>
                <c:pt idx="6">
                  <c:v>M37</c:v>
                </c:pt>
                <c:pt idx="7">
                  <c:v>M11</c:v>
                </c:pt>
                <c:pt idx="8">
                  <c:v>M01</c:v>
                </c:pt>
                <c:pt idx="9">
                  <c:v>M35</c:v>
                </c:pt>
              </c:strCache>
            </c:strRef>
          </c:cat>
          <c:val>
            <c:numRef>
              <c:f>Calculos!$I$8:$I$18</c:f>
              <c:numCache>
                <c:formatCode>General</c:formatCode>
                <c:ptCount val="10"/>
                <c:pt idx="0">
                  <c:v>1116</c:v>
                </c:pt>
                <c:pt idx="1">
                  <c:v>521</c:v>
                </c:pt>
                <c:pt idx="2">
                  <c:v>516</c:v>
                </c:pt>
                <c:pt idx="3">
                  <c:v>491</c:v>
                </c:pt>
                <c:pt idx="4">
                  <c:v>475</c:v>
                </c:pt>
                <c:pt idx="5">
                  <c:v>352</c:v>
                </c:pt>
                <c:pt idx="6">
                  <c:v>327</c:v>
                </c:pt>
                <c:pt idx="7">
                  <c:v>303</c:v>
                </c:pt>
                <c:pt idx="8">
                  <c:v>292</c:v>
                </c:pt>
                <c:pt idx="9">
                  <c:v>278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81-45BB-92E1-D1FAC0FB2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033176"/>
        <c:axId val="216033960"/>
      </c:barChart>
      <c:catAx>
        <c:axId val="21603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6033960"/>
        <c:crosses val="autoZero"/>
        <c:auto val="1"/>
        <c:lblAlgn val="ctr"/>
        <c:lblOffset val="100"/>
        <c:noMultiLvlLbl val="0"/>
      </c:catAx>
      <c:valAx>
        <c:axId val="2160339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603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3279260410281695"/>
          <c:y val="0.15239853723701116"/>
          <c:w val="0.5289069986436532"/>
          <c:h val="0.8024037299615026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Calculos!$C$8</c:f>
              <c:strCache>
                <c:ptCount val="1"/>
                <c:pt idx="0">
                  <c:v>MTBF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Calculos!$C$9:$C$14</c:f>
              <c:numCache>
                <c:formatCode>0.00</c:formatCode>
                <c:ptCount val="6"/>
                <c:pt idx="0">
                  <c:v>0</c:v>
                </c:pt>
                <c:pt idx="1">
                  <c:v>97.944444444444443</c:v>
                </c:pt>
                <c:pt idx="2">
                  <c:v>61.333333333333336</c:v>
                </c:pt>
                <c:pt idx="3">
                  <c:v>199.97704545454548</c:v>
                </c:pt>
                <c:pt idx="4">
                  <c:v>9.045454545454545</c:v>
                </c:pt>
                <c:pt idx="5">
                  <c:v>156.13908804519033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6035528"/>
        <c:axId val="216035920"/>
      </c:barChart>
      <c:catAx>
        <c:axId val="216035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6035920"/>
        <c:crosses val="autoZero"/>
        <c:auto val="1"/>
        <c:lblAlgn val="ctr"/>
        <c:lblOffset val="100"/>
        <c:noMultiLvlLbl val="0"/>
      </c:catAx>
      <c:valAx>
        <c:axId val="216035920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1603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Calculos!$D$8</c:f>
              <c:strCache>
                <c:ptCount val="1"/>
                <c:pt idx="0">
                  <c:v>MTTR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Calculos!$D$9:$D$14</c:f>
              <c:numCache>
                <c:formatCode>0.00</c:formatCode>
                <c:ptCount val="6"/>
                <c:pt idx="0">
                  <c:v>0</c:v>
                </c:pt>
                <c:pt idx="1">
                  <c:v>62.055555555555557</c:v>
                </c:pt>
                <c:pt idx="2">
                  <c:v>58.666666666666664</c:v>
                </c:pt>
                <c:pt idx="3">
                  <c:v>36.968409090909084</c:v>
                </c:pt>
                <c:pt idx="4">
                  <c:v>23.681818181818183</c:v>
                </c:pt>
                <c:pt idx="5">
                  <c:v>36.505200695236567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3023376"/>
        <c:axId val="253026120"/>
      </c:barChart>
      <c:catAx>
        <c:axId val="253023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026120"/>
        <c:crosses val="autoZero"/>
        <c:auto val="1"/>
        <c:lblAlgn val="ctr"/>
        <c:lblOffset val="100"/>
        <c:noMultiLvlLbl val="0"/>
      </c:catAx>
      <c:valAx>
        <c:axId val="253026120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5302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7382778870197E-2"/>
          <c:y val="5.450733752620545E-2"/>
          <c:w val="0.92398368037579159"/>
          <c:h val="0.71813961934003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Calculos!$X$1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Calculos!$W$2:$W$21</c:f>
              <c:strCache>
                <c:ptCount val="20"/>
                <c:pt idx="0">
                  <c:v>JOSINALDO</c:v>
                </c:pt>
                <c:pt idx="1">
                  <c:v>ANDERSON</c:v>
                </c:pt>
                <c:pt idx="2">
                  <c:v>RUIGUENS</c:v>
                </c:pt>
                <c:pt idx="3">
                  <c:v>DANILLO</c:v>
                </c:pt>
                <c:pt idx="4">
                  <c:v>ALBERTO</c:v>
                </c:pt>
                <c:pt idx="5">
                  <c:v>SILVIO</c:v>
                </c:pt>
                <c:pt idx="6">
                  <c:v>VALDEMAR</c:v>
                </c:pt>
                <c:pt idx="7">
                  <c:v>GENILSON</c:v>
                </c:pt>
                <c:pt idx="8">
                  <c:v>ELIAS</c:v>
                </c:pt>
                <c:pt idx="9">
                  <c:v>CRISTIANO</c:v>
                </c:pt>
                <c:pt idx="10">
                  <c:v>JOSÉ</c:v>
                </c:pt>
                <c:pt idx="11">
                  <c:v>EDUARDO</c:v>
                </c:pt>
                <c:pt idx="12">
                  <c:v>RAFAEL</c:v>
                </c:pt>
                <c:pt idx="13">
                  <c:v>ROBERT</c:v>
                </c:pt>
                <c:pt idx="14">
                  <c:v>FELIPE</c:v>
                </c:pt>
                <c:pt idx="15">
                  <c:v>RONALDO</c:v>
                </c:pt>
                <c:pt idx="16">
                  <c:v>A. FERNANDO</c:v>
                </c:pt>
                <c:pt idx="17">
                  <c:v>DAVID</c:v>
                </c:pt>
                <c:pt idx="18">
                  <c:v>JEAZI</c:v>
                </c:pt>
                <c:pt idx="19">
                  <c:v>PERCIVAL</c:v>
                </c:pt>
              </c:strCache>
            </c:strRef>
          </c:cat>
          <c:val>
            <c:numRef>
              <c:f>Calculos!$X$2:$X$21</c:f>
              <c:numCache>
                <c:formatCode>General</c:formatCode>
                <c:ptCount val="20"/>
                <c:pt idx="0">
                  <c:v>96</c:v>
                </c:pt>
                <c:pt idx="1">
                  <c:v>67</c:v>
                </c:pt>
                <c:pt idx="2">
                  <c:v>60</c:v>
                </c:pt>
                <c:pt idx="3">
                  <c:v>55</c:v>
                </c:pt>
                <c:pt idx="4">
                  <c:v>55</c:v>
                </c:pt>
                <c:pt idx="5">
                  <c:v>47</c:v>
                </c:pt>
                <c:pt idx="6">
                  <c:v>43</c:v>
                </c:pt>
                <c:pt idx="7">
                  <c:v>30</c:v>
                </c:pt>
                <c:pt idx="8">
                  <c:v>30</c:v>
                </c:pt>
                <c:pt idx="9">
                  <c:v>27</c:v>
                </c:pt>
                <c:pt idx="10">
                  <c:v>21</c:v>
                </c:pt>
                <c:pt idx="11">
                  <c:v>20</c:v>
                </c:pt>
                <c:pt idx="12">
                  <c:v>15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8C-49C1-90DB-4C9BF7982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026512"/>
        <c:axId val="253024160"/>
      </c:barChart>
      <c:catAx>
        <c:axId val="25302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024160"/>
        <c:crosses val="autoZero"/>
        <c:auto val="1"/>
        <c:lblAlgn val="ctr"/>
        <c:lblOffset val="100"/>
        <c:noMultiLvlLbl val="0"/>
      </c:catAx>
      <c:valAx>
        <c:axId val="2530241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302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190500</xdr:colOff>
      <xdr:row>1</xdr:row>
      <xdr:rowOff>95250</xdr:rowOff>
    </xdr:from>
    <xdr:to>
      <xdr:col>17</xdr:col>
      <xdr:colOff>419100</xdr:colOff>
      <xdr:row>3</xdr:row>
      <xdr:rowOff>0</xdr:rowOff>
    </xdr:to>
    <xdr:sp macro="[0]!Calculate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8943975" y="571500"/>
          <a:ext cx="10763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FILTRAR</a:t>
          </a:r>
        </a:p>
      </xdr:txBody>
    </xdr:sp>
    <xdr:clientData/>
  </xdr:twoCellAnchor>
  <xdr:twoCellAnchor>
    <xdr:from>
      <xdr:col>9</xdr:col>
      <xdr:colOff>276225</xdr:colOff>
      <xdr:row>10</xdr:row>
      <xdr:rowOff>76200</xdr:rowOff>
    </xdr:from>
    <xdr:to>
      <xdr:col>22</xdr:col>
      <xdr:colOff>19050</xdr:colOff>
      <xdr:row>24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171450</xdr:colOff>
      <xdr:row>2</xdr:row>
      <xdr:rowOff>0</xdr:rowOff>
    </xdr:from>
    <xdr:to>
      <xdr:col>3</xdr:col>
      <xdr:colOff>133350</xdr:colOff>
      <xdr:row>3</xdr:row>
      <xdr:rowOff>47625</xdr:rowOff>
    </xdr:to>
    <xdr:sp macro="[0]!openOsForm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571500" y="581025"/>
          <a:ext cx="1447800" cy="266700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Lançar</a:t>
          </a:r>
          <a:r>
            <a:rPr lang="pt-BR" sz="1400" b="1" baseline="0">
              <a:solidFill>
                <a:schemeClr val="bg1"/>
              </a:solidFill>
            </a:rPr>
            <a:t> OSs</a:t>
          </a:r>
        </a:p>
      </xdr:txBody>
    </xdr:sp>
    <xdr:clientData/>
  </xdr:twoCellAnchor>
  <xdr:twoCellAnchor>
    <xdr:from>
      <xdr:col>4</xdr:col>
      <xdr:colOff>152400</xdr:colOff>
      <xdr:row>9</xdr:row>
      <xdr:rowOff>38101</xdr:rowOff>
    </xdr:from>
    <xdr:to>
      <xdr:col>9</xdr:col>
      <xdr:colOff>95250</xdr:colOff>
      <xdr:row>25</xdr:row>
      <xdr:rowOff>109539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9</xdr:row>
      <xdr:rowOff>38100</xdr:rowOff>
    </xdr:from>
    <xdr:to>
      <xdr:col>4</xdr:col>
      <xdr:colOff>179775</xdr:colOff>
      <xdr:row>25</xdr:row>
      <xdr:rowOff>111300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190500</xdr:colOff>
      <xdr:row>1</xdr:row>
      <xdr:rowOff>190500</xdr:rowOff>
    </xdr:from>
    <xdr:to>
      <xdr:col>17</xdr:col>
      <xdr:colOff>295275</xdr:colOff>
      <xdr:row>3</xdr:row>
      <xdr:rowOff>19050</xdr:rowOff>
    </xdr:to>
    <xdr:sp macro="[0]!CalcularTempo" textlink="">
      <xdr:nvSpPr>
        <xdr:cNvPr id="6" name="Retângul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9534525" y="666750"/>
          <a:ext cx="15335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Calcular</a:t>
          </a:r>
        </a:p>
      </xdr:txBody>
    </xdr:sp>
    <xdr:clientData/>
  </xdr:twoCellAnchor>
  <xdr:twoCellAnchor>
    <xdr:from>
      <xdr:col>2</xdr:col>
      <xdr:colOff>533399</xdr:colOff>
      <xdr:row>4</xdr:row>
      <xdr:rowOff>38100</xdr:rowOff>
    </xdr:from>
    <xdr:to>
      <xdr:col>12</xdr:col>
      <xdr:colOff>619125</xdr:colOff>
      <xdr:row>18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anutenção Pernambuco" refreshedDate="44943.496041435188" backgroundQuery="1" createdVersion="5" refreshedVersion="5" minRefreshableVersion="3" recordCount="0" supportSubquery="1" supportAdvancedDrill="1">
  <cacheSource type="external" connectionId="1"/>
  <cacheFields count="7">
    <cacheField name="[Measures].[Soma de Tempo Parada]" caption="Soma de Tempo Parada" numFmtId="0" hierarchy="27" level="32767"/>
    <cacheField name="[Tabela1].[Tag].[Tag]" caption="Tag" numFmtId="0" hierarchy="11" level="1">
      <sharedItems count="10">
        <s v="M01"/>
        <s v="M07"/>
        <s v="M11"/>
        <s v="M12"/>
        <s v="M16"/>
        <s v="M17"/>
        <s v="M22"/>
        <s v="M35"/>
        <s v="M37"/>
        <s v="M41"/>
      </sharedItems>
    </cacheField>
    <cacheField name="[Tabela1].[Turno].[Turno]" caption="Turno" numFmtId="0" hierarchy="10" level="1">
      <sharedItems containsSemiMixedTypes="0" containsNonDate="0" containsString="0"/>
    </cacheField>
    <cacheField name="[Tabela1].[Natureza].[Natureza]" caption="Natureza" numFmtId="0" hierarchy="12" level="1">
      <sharedItems containsSemiMixedTypes="0" containsNonDate="0" containsString="0"/>
    </cacheField>
    <cacheField name="[Tabela1].[Dia].[Dia]" caption="Dia" numFmtId="0" hierarchy="21" level="1">
      <sharedItems containsSemiMixedTypes="0" containsNonDate="0" containsString="0"/>
    </cacheField>
    <cacheField name="[Tabela1].[Mês].[Mês]" caption="Mês" numFmtId="0" hierarchy="22" level="1">
      <sharedItems containsSemiMixedTypes="0" containsNonDate="0" containsString="0"/>
    </cacheField>
    <cacheField name="[Tabela1].[Ano].[Ano]" caption="Ano" numFmtId="0" hierarchy="23" level="1">
      <sharedItems containsSemiMixedTypes="0" containsNonDate="0" containsString="0"/>
    </cacheField>
  </cacheFields>
  <cacheHierarchies count="31">
    <cacheHierarchy uniqueName="[Tabela1].[N° Os]" caption="N° Os" attribute="1" defaultMemberUniqueName="[Tabela1].[N° Os].[All]" allUniqueName="[Tabela1].[N° Os].[All]" dimensionUniqueName="[Tabela1]" displayFolder="" count="0" memberValueDatatype="130" unbalanced="0"/>
    <cacheHierarchy uniqueName="[Tabela1].[Data]" caption="Data" attribute="1" time="1" defaultMemberUniqueName="[Tabela1].[Data].[All]" allUniqueName="[Tabela1].[Data].[All]" dimensionUniqueName="[Tabela1]" displayFolder="" count="0" memberValueDatatype="7" unbalanced="0"/>
    <cacheHierarchy uniqueName="[Tabela1].[Mat. 1]" caption="Mat. 1" attribute="1" defaultMemberUniqueName="[Tabela1].[Mat. 1].[All]" allUniqueName="[Tabela1].[Mat. 1].[All]" dimensionUniqueName="[Tabela1]" displayFolder="" count="0" memberValueDatatype="20" unbalanced="0"/>
    <cacheHierarchy uniqueName="[Tabela1].[Mat. 2]" caption="Mat. 2" attribute="1" defaultMemberUniqueName="[Tabela1].[Mat. 2].[All]" allUniqueName="[Tabela1].[Mat. 2].[All]" dimensionUniqueName="[Tabela1]" displayFolder="" count="0" memberValueDatatype="20" unbalanced="0"/>
    <cacheHierarchy uniqueName="[Tabela1].[Mat. 3]" caption="Mat. 3" attribute="1" defaultMemberUniqueName="[Tabela1].[Mat. 3].[All]" allUniqueName="[Tabela1].[Mat. 3].[All]" dimensionUniqueName="[Tabela1]" displayFolder="" count="0" memberValueDatatype="20" unbalanced="0"/>
    <cacheHierarchy uniqueName="[Tabela1].[Mat. 4]" caption="Mat. 4" attribute="1" defaultMemberUniqueName="[Tabela1].[Mat. 4].[All]" allUniqueName="[Tabela1].[Mat. 4].[All]" dimensionUniqueName="[Tabela1]" displayFolder="" count="0" memberValueDatatype="20" unbalanced="0"/>
    <cacheHierarchy uniqueName="[Tabela1].[Manut 1]" caption="Manut 1" attribute="1" defaultMemberUniqueName="[Tabela1].[Manut 1].[All]" allUniqueName="[Tabela1].[Manut 1].[All]" dimensionUniqueName="[Tabela1]" displayFolder="" count="0" memberValueDatatype="130" unbalanced="0"/>
    <cacheHierarchy uniqueName="[Tabela1].[Manut 2]" caption="Manut 2" attribute="1" defaultMemberUniqueName="[Tabela1].[Manut 2].[All]" allUniqueName="[Tabela1].[Manut 2].[All]" dimensionUniqueName="[Tabela1]" displayFolder="" count="0" memberValueDatatype="130" unbalanced="0"/>
    <cacheHierarchy uniqueName="[Tabela1].[Manut 3]" caption="Manut 3" attribute="1" defaultMemberUniqueName="[Tabela1].[Manut 3].[All]" allUniqueName="[Tabela1].[Manut 3].[All]" dimensionUniqueName="[Tabela1]" displayFolder="" count="0" memberValueDatatype="130" unbalanced="0"/>
    <cacheHierarchy uniqueName="[Tabela1].[Manut 4]" caption="Manut 4" attribute="1" defaultMemberUniqueName="[Tabela1].[Manut 4].[All]" allUniqueName="[Tabela1].[Manut 4].[All]" dimensionUniqueName="[Tabela1]" displayFolder="" count="0" memberValueDatatype="130" unbalanced="0"/>
    <cacheHierarchy uniqueName="[Tabela1].[Turno]" caption="Turno" attribute="1" defaultMemberUniqueName="[Tabela1].[Turno].[All]" allUniqueName="[Tabela1].[Turno].[All]" dimensionUniqueName="[Tabela1]" displayFolder="" count="2" memberValueDatatype="130" unbalanced="0">
      <fieldsUsage count="2">
        <fieldUsage x="-1"/>
        <fieldUsage x="2"/>
      </fieldsUsage>
    </cacheHierarchy>
    <cacheHierarchy uniqueName="[Tabela1].[Tag]" caption="Tag" attribute="1" defaultMemberUniqueName="[Tabela1].[Tag].[All]" allUniqueName="[Tabela1].[Tag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Natureza]" caption="Natureza" attribute="1" defaultMemberUniqueName="[Tabela1].[Natureza].[All]" allUniqueName="[Tabela1].[Natureza].[All]" dimensionUniqueName="[Tabela1]" displayFolder="" count="2" memberValueDatatype="130" unbalanced="0">
      <fieldsUsage count="2">
        <fieldUsage x="-1"/>
        <fieldUsage x="3"/>
      </fieldsUsage>
    </cacheHierarchy>
    <cacheHierarchy uniqueName="[Tabela1].[Tipo]" caption="Tipo" attribute="1" defaultMemberUniqueName="[Tabela1].[Tipo].[All]" allUniqueName="[Tabela1].[Tipo].[All]" dimensionUniqueName="[Tabela1]" displayFolder="" count="0" memberValueDatatype="130" unbalanced="0"/>
    <cacheHierarchy uniqueName="[Tabela1].[Tempo Parada]" caption="Tempo Parada" attribute="1" defaultMemberUniqueName="[Tabela1].[Tempo Parada].[All]" allUniqueName="[Tabela1].[Tempo Parada].[All]" dimensionUniqueName="[Tabela1]" displayFolder="" count="0" memberValueDatatype="20" unbalanced="0"/>
    <cacheHierarchy uniqueName="[Tabela1].[Tempo Setup]" caption="Tempo Setup" attribute="1" defaultMemberUniqueName="[Tabela1].[Tempo Setup].[All]" allUniqueName="[Tabela1].[Tempo Setup].[All]" dimensionUniqueName="[Tabela1]" displayFolder="" count="0" memberValueDatatype="20" unbalanced="0"/>
    <cacheHierarchy uniqueName="[Tabela1].[Falha]" caption="Falha" attribute="1" defaultMemberUniqueName="[Tabela1].[Falha].[All]" allUniqueName="[Tabela1].[Falha].[All]" dimensionUniqueName="[Tabela1]" displayFolder="" count="0" memberValueDatatype="130" unbalanced="0"/>
    <cacheHierarchy uniqueName="[Tabela1].[Cód. Causa]" caption="Cód. Causa" attribute="1" defaultMemberUniqueName="[Tabela1].[Cód. Causa].[All]" allUniqueName="[Tabela1].[Cód. Causa].[All]" dimensionUniqueName="[Tabela1]" displayFolder="" count="0" memberValueDatatype="130" unbalanced="0"/>
    <cacheHierarchy uniqueName="[Tabela1].[Tipo de Causa]" caption="Tipo de Causa" attribute="1" defaultMemberUniqueName="[Tabela1].[Tipo de Causa].[All]" allUniqueName="[Tabela1].[Tipo de Causa].[All]" dimensionUniqueName="[Tabela1]" displayFolder="" count="0" memberValueDatatype="130" unbalanced="0"/>
    <cacheHierarchy uniqueName="[Tabela1].[Equipamento]" caption="Equipamento" attribute="1" defaultMemberUniqueName="[Tabela1].[Equipamento].[All]" allUniqueName="[Tabela1].[Equipamento].[All]" dimensionUniqueName="[Tabela1]" displayFolder="" count="0" memberValueDatatype="130" unbalanced="0"/>
    <cacheHierarchy uniqueName="[Tabela1].[Setor]" caption="Setor" attribute="1" defaultMemberUniqueName="[Tabela1].[Setor].[All]" allUniqueName="[Tabela1].[Setor].[All]" dimensionUniqueName="[Tabela1]" displayFolder="" count="0" memberValueDatatype="130" unbalanced="0"/>
    <cacheHierarchy uniqueName="[Tabela1].[Dia]" caption="Dia" attribute="1" defaultMemberUniqueName="[Tabela1].[Dia].[All]" allUniqueName="[Tabela1].[Dia].[All]" dimensionUniqueName="[Tabela1]" displayFolder="" count="2" memberValueDatatype="20" unbalanced="0">
      <fieldsUsage count="2">
        <fieldUsage x="-1"/>
        <fieldUsage x="4"/>
      </fieldsUsage>
    </cacheHierarchy>
    <cacheHierarchy uniqueName="[Tabela1].[Mês]" caption="Mês" attribute="1" defaultMemberUniqueName="[Tabela1].[Mês].[All]" allUniqueName="[Tabela1].[Mês].[All]" dimensionUniqueName="[Tabela1]" displayFolder="" count="2" memberValueDatatype="20" unbalanced="0">
      <fieldsUsage count="2">
        <fieldUsage x="-1"/>
        <fieldUsage x="5"/>
      </fieldsUsage>
    </cacheHierarchy>
    <cacheHierarchy uniqueName="[Tabela1].[Ano]" caption="Ano" attribute="1" defaultMemberUniqueName="[Tabela1].[Ano].[All]" allUniqueName="[Tabela1].[Ano].[All]" dimensionUniqueName="[Tabela1]" displayFolder="" count="2" memberValueDatatype="20" unbalanced="0">
      <fieldsUsage count="2">
        <fieldUsage x="-1"/>
        <fieldUsage x="6"/>
      </fieldsUsage>
    </cacheHierarchy>
    <cacheHierarchy uniqueName="[Measures].[Contagem de Tag]" caption="Contagem de Tag" measure="1" displayFolder="" measureGroup="Tabela1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ntagem de Turno]" caption="Contagem de Turno" measure="1" displayFolder="" measureGroup="Tabela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ntagem de Data]" caption="Contagem de Data" measure="1" displayFolder="" measureGroup="Tabe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empo Parada]" caption="Soma de Tempo Parada" measure="1" displayFolder="" measureGroup="Tabela1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Tempo Parada]" caption="Contagem de Tempo Parada" measure="1" displayFolder="" measureGroup="Tabela1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__XL_Count Tabela1]" caption="__XL_Count Tabela1" measure="1" displayFolder="" measureGroup="Tabela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ela1" uniqueName="[Tabela1]" caption="Tabela1"/>
  </dimensions>
  <measureGroups count="1">
    <measureGroup name="Tabela1" caption="Tabela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nutenção Pernambuco" refreshedDate="44943.496041550927" createdVersion="5" refreshedVersion="5" minRefreshableVersion="3" recordCount="257">
  <cacheSource type="worksheet">
    <worksheetSource name="Tabela1"/>
  </cacheSource>
  <cacheFields count="24">
    <cacheField name="N° Os" numFmtId="0">
      <sharedItems containsMixedTypes="1" containsNumber="1" containsInteger="1" minValue="1245" maxValue="45898"/>
    </cacheField>
    <cacheField name="Data" numFmtId="166">
      <sharedItems containsSemiMixedTypes="0" containsNonDate="0" containsDate="1" containsString="0" minDate="2022-02-21T00:00:00" maxDate="2023-02-22T00:00:00"/>
    </cacheField>
    <cacheField name="Mat. 1" numFmtId="167">
      <sharedItems containsSemiMixedTypes="0" containsString="0" containsNumber="1" containsInteger="1" minValue="15" maxValue="877" count="17">
        <n v="877"/>
        <n v="739"/>
        <n v="185"/>
        <n v="677"/>
        <n v="631"/>
        <n v="540"/>
        <n v="493"/>
        <n v="267"/>
        <n v="592"/>
        <n v="15"/>
        <n v="782"/>
        <n v="73"/>
        <n v="435"/>
        <n v="248"/>
        <n v="444"/>
        <n v="721"/>
        <n v="282"/>
      </sharedItems>
    </cacheField>
    <cacheField name="Mat. 2" numFmtId="167">
      <sharedItems containsString="0" containsBlank="1" containsNumber="1" containsInteger="1" minValue="15" maxValue="877" count="17">
        <m/>
        <n v="540"/>
        <n v="631"/>
        <n v="267"/>
        <n v="248"/>
        <n v="73"/>
        <n v="721"/>
        <n v="677"/>
        <n v="739"/>
        <n v="877"/>
        <n v="444"/>
        <n v="782"/>
        <n v="185"/>
        <n v="493"/>
        <n v="435"/>
        <n v="15"/>
        <n v="592"/>
      </sharedItems>
    </cacheField>
    <cacheField name="Mat. 3" numFmtId="167">
      <sharedItems containsString="0" containsBlank="1" containsNumber="1" containsInteger="1" minValue="15" maxValue="877" count="10">
        <m/>
        <n v="540"/>
        <n v="267"/>
        <n v="877"/>
        <n v="677"/>
        <n v="782"/>
        <n v="721"/>
        <n v="248"/>
        <n v="15"/>
        <n v="493"/>
      </sharedItems>
    </cacheField>
    <cacheField name="Mat. 4" numFmtId="167">
      <sharedItems containsString="0" containsBlank="1" containsNumber="1" containsInteger="1" minValue="540" maxValue="631" count="3">
        <m/>
        <n v="631"/>
        <n v="540"/>
      </sharedItems>
    </cacheField>
    <cacheField name="Manut 1" numFmtId="0">
      <sharedItems/>
    </cacheField>
    <cacheField name="Manut 2" numFmtId="0">
      <sharedItems/>
    </cacheField>
    <cacheField name="Manut 3" numFmtId="0">
      <sharedItems/>
    </cacheField>
    <cacheField name="Manut 4" numFmtId="0">
      <sharedItems/>
    </cacheField>
    <cacheField name="Turno" numFmtId="0">
      <sharedItems count="4">
        <s v="3º"/>
        <s v="1º"/>
        <s v="2º"/>
        <s v="" u="1"/>
      </sharedItems>
    </cacheField>
    <cacheField name="Tag" numFmtId="0">
      <sharedItems count="54">
        <s v="M18"/>
        <s v="M17"/>
        <s v="MONTAGEM 226"/>
        <s v="M08"/>
        <s v="M30"/>
        <s v="M13"/>
        <s v="M12"/>
        <s v="M35"/>
        <s v="M22"/>
        <s v="-"/>
        <s v="M06"/>
        <s v="M15"/>
        <s v="M14"/>
        <s v="M11"/>
        <s v="M36"/>
        <s v="M33"/>
        <s v="M41"/>
        <s v="M23"/>
        <s v="M02"/>
        <s v="M16"/>
        <s v="M37"/>
        <s v="M20"/>
        <s v="M38"/>
        <s v="M45"/>
        <s v="M24"/>
        <s v="MESA 521"/>
        <s v="M27"/>
        <s v="MESA 226"/>
        <s v="M07"/>
        <s v="COLEIRO 551"/>
        <s v="M28"/>
        <s v="M40"/>
        <s v="M19"/>
        <s v="M42"/>
        <s v="M01"/>
        <s v="PRÉ-AQUECIMENTO"/>
        <s v="COLEIRO 521"/>
        <s v="MESA 551"/>
        <s v="M21"/>
        <s v="COLEIRO 226"/>
        <s v="COLEIRO CAIXA DE RODA"/>
        <s v="M26"/>
        <s v="M11/12"/>
        <s v="M32/33"/>
        <s v="M04"/>
        <s v="M34"/>
        <s v="COLEIRO 598"/>
        <s v="AQUECEDOR"/>
        <s v="COLEIRO "/>
        <s v="M41/M42"/>
        <s v="ENFARDADEIRA"/>
        <s v="M10"/>
        <s v="MESA DE MONTAGEM TETO 226"/>
        <s v="VIROLA 521"/>
      </sharedItems>
    </cacheField>
    <cacheField name="Natureza" numFmtId="0">
      <sharedItems/>
    </cacheField>
    <cacheField name="Tipo" numFmtId="0">
      <sharedItems count="3">
        <s v="CORRETIVA"/>
        <s v="SETUP"/>
        <s v="PROGRAMADA"/>
      </sharedItems>
    </cacheField>
    <cacheField name="Tempo Parada" numFmtId="0">
      <sharedItems containsString="0" containsBlank="1" containsNumber="1" containsInteger="1" minValue="0" maxValue="300"/>
    </cacheField>
    <cacheField name="Tempo Setup" numFmtId="0">
      <sharedItems containsString="0" containsBlank="1" containsNumber="1" containsInteger="1" minValue="0" maxValue="210"/>
    </cacheField>
    <cacheField name="Falha" numFmtId="0">
      <sharedItems containsBlank="1"/>
    </cacheField>
    <cacheField name="Cód. Causa" numFmtId="0">
      <sharedItems containsBlank="1"/>
    </cacheField>
    <cacheField name="Tipo de Causa" numFmtId="0">
      <sharedItems/>
    </cacheField>
    <cacheField name="Equipamento" numFmtId="0">
      <sharedItems/>
    </cacheField>
    <cacheField name="Setor " numFmtId="0">
      <sharedItems/>
    </cacheField>
    <cacheField name="Dia" numFmtId="0">
      <sharedItems containsSemiMixedTypes="0" containsString="0" containsNumber="1" containsInteger="1" minValue="1" maxValue="30" count="23">
        <n v="1"/>
        <n v="3"/>
        <n v="4"/>
        <n v="5"/>
        <n v="6"/>
        <n v="7"/>
        <n v="8"/>
        <n v="9"/>
        <n v="10"/>
        <n v="11"/>
        <n v="12"/>
        <n v="20"/>
        <n v="21"/>
        <n v="22"/>
        <n v="23"/>
        <n v="24"/>
        <n v="25"/>
        <n v="26"/>
        <n v="27"/>
        <n v="28"/>
        <n v="29"/>
        <n v="30"/>
        <n v="16"/>
      </sharedItems>
    </cacheField>
    <cacheField name="Mês" numFmtId="0">
      <sharedItems containsSemiMixedTypes="0" containsString="0" containsNumber="1" containsInteger="1" minValue="1" maxValue="11" count="3">
        <n v="11"/>
        <n v="1"/>
        <n v="2"/>
      </sharedItems>
    </cacheField>
    <cacheField name="Ano" numFmtId="0">
      <sharedItems containsSemiMixedTypes="0" containsString="0" containsNumber="1" containsInteger="1" minValue="2022" maxValue="2023" count="2">
        <n v="2022"/>
        <n v="2023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">
  <r>
    <n v="12140"/>
    <d v="2022-11-01T00:00:00"/>
    <x v="0"/>
    <x v="0"/>
    <x v="0"/>
    <x v="0"/>
    <s v="RONALDO"/>
    <s v=""/>
    <s v=""/>
    <s v=""/>
    <x v="0"/>
    <x v="0"/>
    <s v="ELÉTRICO"/>
    <x v="0"/>
    <n v="46"/>
    <n v="0"/>
    <s v="AJUSTE DOS SENSORES"/>
    <s v="C"/>
    <s v="FALHA EM COMPONENTES ELETRONICO"/>
    <s v="FORNO DO TETO"/>
    <s v="UTE-03"/>
    <x v="0"/>
    <x v="0"/>
    <x v="0"/>
  </r>
  <r>
    <n v="12141"/>
    <d v="2022-11-01T00:00:00"/>
    <x v="1"/>
    <x v="0"/>
    <x v="0"/>
    <x v="0"/>
    <s v="DANILLO"/>
    <s v=""/>
    <s v=""/>
    <s v=""/>
    <x v="1"/>
    <x v="1"/>
    <s v="ELÉTRICO"/>
    <x v="0"/>
    <n v="35"/>
    <n v="0"/>
    <s v="AJUSTE NO ATUADOR E IMÂ MESA 1"/>
    <s v="C"/>
    <s v="FALHA EM COMPONENTES ELETRONICO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0"/>
    <m/>
    <s v="PREVENTIVA DO MOTOR"/>
    <s v="P"/>
    <s v="EQUIPAMENTO TRABALHANDO COM CARGA EXCESSIVA 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240"/>
    <n v="0"/>
    <s v="FEITO PREVENTIVA DO MOTOR"/>
    <s v="P"/>
    <s v="EQUIPAMENTO TRABALHANDO COM CARGA EXCESSIVA "/>
    <s v="ROBÔ ABB APLIC. COLA DO TETO"/>
    <s v="UTE-03"/>
    <x v="0"/>
    <x v="0"/>
    <x v="0"/>
  </r>
  <r>
    <n v="12175"/>
    <d v="2022-11-01T00:00:00"/>
    <x v="3"/>
    <x v="0"/>
    <x v="0"/>
    <x v="0"/>
    <s v="RAFAEL"/>
    <s v=""/>
    <s v=""/>
    <s v=""/>
    <x v="2"/>
    <x v="2"/>
    <s v="MECÂNICO"/>
    <x v="0"/>
    <n v="21"/>
    <n v="0"/>
    <s v="LIMPEZA DO BLOCO"/>
    <s v="P"/>
    <s v="EQUIPAMENTO TRABALHANDO COM CARGA EXCESSIVA "/>
    <s v=""/>
    <s v=""/>
    <x v="0"/>
    <x v="0"/>
    <x v="0"/>
  </r>
  <r>
    <n v="12483"/>
    <d v="2022-11-01T00:00:00"/>
    <x v="4"/>
    <x v="1"/>
    <x v="0"/>
    <x v="0"/>
    <s v="JOSINALDO"/>
    <s v="ANDERSON"/>
    <s v=""/>
    <s v=""/>
    <x v="2"/>
    <x v="3"/>
    <s v="MECÂNICO"/>
    <x v="0"/>
    <n v="13"/>
    <n v="0"/>
    <s v="FEITO REPOSIÇÃO DOS RELÉS"/>
    <s v="P"/>
    <s v="EQUIPAMENTO TRABALHANDO COM CARGA EXCESSIVA "/>
    <s v="PRENSA CORTE INNER DASH"/>
    <s v="UTE-02"/>
    <x v="0"/>
    <x v="0"/>
    <x v="0"/>
  </r>
  <r>
    <n v="12499"/>
    <d v="2022-11-01T00:00:00"/>
    <x v="4"/>
    <x v="1"/>
    <x v="0"/>
    <x v="0"/>
    <s v="JOSINALDO"/>
    <s v="ANDERSON"/>
    <s v=""/>
    <s v=""/>
    <x v="2"/>
    <x v="4"/>
    <s v="ELÉTRICO"/>
    <x v="0"/>
    <n v="10"/>
    <n v="0"/>
    <s v="RESET DO EQUIPAMENTO"/>
    <s v="C"/>
    <s v="FALHA EM COMPONENTES ELETRONICO"/>
    <s v="PRENSA MOLDAGEM HOOD"/>
    <s v="UTE-02"/>
    <x v="0"/>
    <x v="0"/>
    <x v="0"/>
  </r>
  <r>
    <n v="12500"/>
    <d v="2022-11-01T00:00:00"/>
    <x v="5"/>
    <x v="2"/>
    <x v="0"/>
    <x v="0"/>
    <s v="ANDERSON"/>
    <s v="JOSINALDO"/>
    <s v=""/>
    <s v=""/>
    <x v="2"/>
    <x v="5"/>
    <s v="MECÂNICO"/>
    <x v="0"/>
    <n v="40"/>
    <n v="0"/>
    <s v="REABASTECIMENTO DE ÓLEO"/>
    <s v="P"/>
    <s v="EQUIPAMENTO TRABALHANDO COM CARGA EXCESSIVA "/>
    <s v="INJETORA INNER DASH"/>
    <s v="UTE-02"/>
    <x v="0"/>
    <x v="0"/>
    <x v="0"/>
  </r>
  <r>
    <n v="12720"/>
    <d v="2022-11-01T00:00:00"/>
    <x v="6"/>
    <x v="0"/>
    <x v="0"/>
    <x v="0"/>
    <s v="ELIAS"/>
    <s v=""/>
    <s v=""/>
    <s v=""/>
    <x v="1"/>
    <x v="6"/>
    <s v="MECÂNICO"/>
    <x v="0"/>
    <n v="25"/>
    <n v="0"/>
    <s v="TROCA DA MANGUEIRA"/>
    <s v="P"/>
    <s v="EQUIPAMENTO TRABALHANDO COM CARGA EXCESSIVA "/>
    <s v="PRENSA COM INJEÇÃO PU INNER 03"/>
    <s v="UTE-02"/>
    <x v="0"/>
    <x v="0"/>
    <x v="0"/>
  </r>
  <r>
    <n v="12786"/>
    <d v="2022-11-01T00:00:00"/>
    <x v="3"/>
    <x v="3"/>
    <x v="0"/>
    <x v="0"/>
    <s v="RAFAEL"/>
    <s v=""/>
    <s v=""/>
    <s v=""/>
    <x v="2"/>
    <x v="7"/>
    <s v="ELÉTRICO"/>
    <x v="0"/>
    <n v="15"/>
    <n v="0"/>
    <s v="TROCA DO SENSOR DA GARRA 3"/>
    <s v="C"/>
    <s v="FALHA EM COMPONENTES ELETRONICO"/>
    <s v="PRENSA DE MOLDAGEM CARPETE"/>
    <s v="UTE-05"/>
    <x v="0"/>
    <x v="0"/>
    <x v="0"/>
  </r>
  <r>
    <n v="12820"/>
    <d v="2022-11-01T00:00:00"/>
    <x v="7"/>
    <x v="0"/>
    <x v="0"/>
    <x v="0"/>
    <s v=""/>
    <s v=""/>
    <s v=""/>
    <s v=""/>
    <x v="2"/>
    <x v="8"/>
    <s v="MECÂNICO"/>
    <x v="0"/>
    <n v="25"/>
    <n v="0"/>
    <s v="AJUSTE DO PROGRAMA 598"/>
    <s v="P"/>
    <s v="EQUIPAMENTO TRABALHANDO COM CARGA EXCESSIVA "/>
    <s v="CORTE DO TETO  - WATER JET 2"/>
    <s v="UTE-03"/>
    <x v="0"/>
    <x v="0"/>
    <x v="0"/>
  </r>
  <r>
    <n v="12821"/>
    <d v="2022-11-01T00:00:00"/>
    <x v="5"/>
    <x v="0"/>
    <x v="0"/>
    <x v="0"/>
    <s v="ANDERSON"/>
    <s v=""/>
    <s v=""/>
    <s v=""/>
    <x v="2"/>
    <x v="8"/>
    <s v="MECÂNICO"/>
    <x v="0"/>
    <n v="10"/>
    <n v="0"/>
    <s v="REAPERTO DO BLOCO DA SERPENTINA"/>
    <s v="P"/>
    <s v="EQUIPAMENTO TRABALHANDO COM CARGA EXCESSIVA "/>
    <s v="CORTE DO TETO  - WATER JET 2"/>
    <s v="UTE-03"/>
    <x v="0"/>
    <x v="0"/>
    <x v="0"/>
  </r>
  <r>
    <n v="12841"/>
    <d v="2022-11-01T00:00:00"/>
    <x v="8"/>
    <x v="0"/>
    <x v="0"/>
    <x v="0"/>
    <s v="CRISTIANO"/>
    <s v=""/>
    <s v=""/>
    <s v=""/>
    <x v="1"/>
    <x v="9"/>
    <s v="MECÂNICO"/>
    <x v="0"/>
    <n v="43"/>
    <n v="0"/>
    <s v="AJUSTE DA PISTOLA"/>
    <s v="P"/>
    <s v="EQUIPAMENTO TRABALHANDO COM CARGA EXCESSIVA "/>
    <s v=""/>
    <s v="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0"/>
    <n v="6"/>
    <s v="TROCA DA SAFIRA"/>
    <s v="P"/>
    <s v="EQUIPAMENTO TRABALHANDO COM CARGA EXCESSIVA "/>
    <s v="CORTE DO TETO  - WATER JET 2"/>
    <s v="UTE-03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6"/>
    <n v="0"/>
    <s v="TROCA DA SAFIRA"/>
    <s v="P"/>
    <s v="EQUIPAMENTO TRABALHANDO COM CARGA EXCESSIVA "/>
    <s v="CORTE DO TETO  - WATER JET 2"/>
    <s v="UTE-03"/>
    <x v="0"/>
    <x v="0"/>
    <x v="0"/>
  </r>
  <r>
    <n v="12913"/>
    <d v="2022-11-01T00:00:00"/>
    <x v="5"/>
    <x v="4"/>
    <x v="0"/>
    <x v="0"/>
    <s v="ANDERSON"/>
    <s v="RUIGUENS"/>
    <s v=""/>
    <s v=""/>
    <x v="2"/>
    <x v="6"/>
    <s v="MECÂNICO"/>
    <x v="0"/>
    <n v="22"/>
    <n v="0"/>
    <s v="TROCA DE CONEXÃO"/>
    <s v="P"/>
    <s v="EQUIPAMENTO TRABALHANDO COM CARGA EXCESSIVA "/>
    <s v="PRENSA COM INJEÇÃO PU INNER 03"/>
    <s v=""/>
    <x v="0"/>
    <x v="0"/>
    <x v="0"/>
  </r>
  <r>
    <n v="11194"/>
    <d v="2022-11-03T00:00:00"/>
    <x v="8"/>
    <x v="0"/>
    <x v="0"/>
    <x v="0"/>
    <s v="CRISTIANO"/>
    <s v=""/>
    <s v=""/>
    <s v=""/>
    <x v="1"/>
    <x v="10"/>
    <s v="MECÂNICO"/>
    <x v="0"/>
    <n v="38"/>
    <n v="0"/>
    <s v="DESTRAVAMENTO DO FENDER"/>
    <s v="P"/>
    <s v="EQUIPAMENTO TRABALHANDO COM CARGA EXCESSIVA "/>
    <s v="INJETORA"/>
    <s v=""/>
    <x v="1"/>
    <x v="0"/>
    <x v="0"/>
  </r>
  <r>
    <n v="12103"/>
    <d v="2022-11-03T00:00:00"/>
    <x v="10"/>
    <x v="0"/>
    <x v="0"/>
    <x v="0"/>
    <s v="JOSÉ"/>
    <s v=""/>
    <s v=""/>
    <s v=""/>
    <x v="0"/>
    <x v="8"/>
    <s v="ELÉTRICO"/>
    <x v="0"/>
    <n v="10"/>
    <n v="0"/>
    <s v="ALINHAMENTO DA BARREIRA DE LUZ"/>
    <s v="C"/>
    <s v="FALHA EM COMPONENTES ELETRONICO"/>
    <s v="CORTE DO TETO  - WATER JET 2"/>
    <s v="UTE-03"/>
    <x v="1"/>
    <x v="0"/>
    <x v="0"/>
  </r>
  <r>
    <n v="12173"/>
    <d v="2022-11-03T00:00:00"/>
    <x v="2"/>
    <x v="0"/>
    <x v="0"/>
    <x v="0"/>
    <s v="FELIPE"/>
    <s v=""/>
    <s v=""/>
    <s v=""/>
    <x v="1"/>
    <x v="8"/>
    <s v="MECÂNICO"/>
    <x v="0"/>
    <n v="0"/>
    <n v="50"/>
    <s v="REALIZADO A TROCA DO REPARO DA CANETA"/>
    <s v="P"/>
    <s v="EQUIPAMENTO TRABALHANDO COM CARGA EXCESSIVA "/>
    <s v="CORTE DO TETO  - WATER JET 2"/>
    <s v="UTE-03"/>
    <x v="1"/>
    <x v="0"/>
    <x v="0"/>
  </r>
  <r>
    <n v="12184"/>
    <d v="2022-11-03T00:00:00"/>
    <x v="1"/>
    <x v="0"/>
    <x v="0"/>
    <x v="0"/>
    <s v="DANILLO"/>
    <s v=""/>
    <s v=""/>
    <s v=""/>
    <x v="1"/>
    <x v="3"/>
    <s v="MECÂNICO"/>
    <x v="0"/>
    <n v="0"/>
    <n v="20"/>
    <s v="DESTRAVAMENTO DA FACA"/>
    <s v="P"/>
    <s v="EQUIPAMENTO TRABALHANDO COM CARGA EXCESSIVA "/>
    <s v="PRENSA CORTE INNER DASH"/>
    <s v=""/>
    <x v="1"/>
    <x v="0"/>
    <x v="0"/>
  </r>
  <r>
    <n v="12614"/>
    <d v="2022-11-03T00:00:00"/>
    <x v="11"/>
    <x v="0"/>
    <x v="0"/>
    <x v="0"/>
    <s v="VALDEMAR"/>
    <s v=""/>
    <s v=""/>
    <s v=""/>
    <x v="0"/>
    <x v="8"/>
    <s v="MECÂNICO"/>
    <x v="0"/>
    <n v="25"/>
    <n v="0"/>
    <s v="REPARO DA SERPENTINA"/>
    <s v="P"/>
    <s v="EQUIPAMENTO TRABALHANDO COM CARGA EXCESSIVA "/>
    <s v="CORTE DO TETO  - WATER JET 2"/>
    <s v="UTE-03"/>
    <x v="1"/>
    <x v="0"/>
    <x v="0"/>
  </r>
  <r>
    <n v="12636"/>
    <d v="2022-11-03T00:00:00"/>
    <x v="11"/>
    <x v="0"/>
    <x v="0"/>
    <x v="0"/>
    <s v="VALDEMAR"/>
    <s v=""/>
    <s v=""/>
    <s v=""/>
    <x v="0"/>
    <x v="11"/>
    <s v="MECÂNICO"/>
    <x v="0"/>
    <n v="27"/>
    <n v="0"/>
    <s v="LIMPEZA DA CONTENÇÃO"/>
    <s v="P"/>
    <s v="EQUIPAMENTO TRABALHANDO COM CARGA EXCESSIVA "/>
    <s v="PRENSA MOLDAGEM 1"/>
    <s v=""/>
    <x v="1"/>
    <x v="0"/>
    <x v="0"/>
  </r>
  <r>
    <n v="12637"/>
    <d v="2022-11-03T00:00:00"/>
    <x v="10"/>
    <x v="0"/>
    <x v="0"/>
    <x v="0"/>
    <s v="JOSÉ"/>
    <s v=""/>
    <s v=""/>
    <s v=""/>
    <x v="0"/>
    <x v="12"/>
    <s v="ELÉTRICO"/>
    <x v="0"/>
    <n v="5"/>
    <n v="0"/>
    <s v="REARMADO DISJUNTOR"/>
    <s v="C"/>
    <s v="FALHA EM COMPONENTES ELETRONICO"/>
    <s v="TERMOFORMAGEM GLASUTEC"/>
    <s v=""/>
    <x v="1"/>
    <x v="0"/>
    <x v="0"/>
  </r>
  <r>
    <n v="12749"/>
    <d v="2022-11-03T00:00:00"/>
    <x v="6"/>
    <x v="0"/>
    <x v="0"/>
    <x v="0"/>
    <s v="ELIAS"/>
    <s v=""/>
    <s v=""/>
    <s v=""/>
    <x v="1"/>
    <x v="13"/>
    <s v="MECÂNICO"/>
    <x v="0"/>
    <n v="59"/>
    <n v="0"/>
    <s v="TROCA DO MANÔMETRO E TROCA DA ANILHA"/>
    <s v="P"/>
    <s v="EQUIPAMENTO TRABALHANDO COM CARGA EXCESSIVA "/>
    <s v="PRENSA COM INJEÇÃO PU INNER 02"/>
    <s v=""/>
    <x v="1"/>
    <x v="0"/>
    <x v="0"/>
  </r>
  <r>
    <n v="12787"/>
    <d v="2022-11-03T00:00:00"/>
    <x v="10"/>
    <x v="5"/>
    <x v="0"/>
    <x v="0"/>
    <s v="JOSÉ"/>
    <s v="VALDEMAR"/>
    <s v=""/>
    <s v=""/>
    <x v="0"/>
    <x v="14"/>
    <s v="ELÉTRICO"/>
    <x v="0"/>
    <m/>
    <m/>
    <m/>
    <m/>
    <s v=""/>
    <s v="PRENSA SOLDA BATE PÉ"/>
    <s v="UTE-05"/>
    <x v="1"/>
    <x v="0"/>
    <x v="0"/>
  </r>
  <r>
    <n v="13962"/>
    <d v="2022-11-03T00:00:00"/>
    <x v="12"/>
    <x v="0"/>
    <x v="0"/>
    <x v="0"/>
    <s v="SILVIO"/>
    <s v=""/>
    <s v=""/>
    <s v=""/>
    <x v="1"/>
    <x v="6"/>
    <s v="ELÉTRICO"/>
    <x v="0"/>
    <n v="60"/>
    <n v="0"/>
    <s v="AJUSTE NO SSENSORES DO SITEMA"/>
    <s v="C"/>
    <s v="FALHA EM COMPONENTES ELETRONICO"/>
    <s v="PRENSA COM INJEÇÃO PU INNER 03"/>
    <s v=""/>
    <x v="1"/>
    <x v="0"/>
    <x v="0"/>
  </r>
  <r>
    <n v="12186"/>
    <d v="2022-11-04T00:00:00"/>
    <x v="12"/>
    <x v="0"/>
    <x v="0"/>
    <x v="0"/>
    <s v="SILVIO"/>
    <s v=""/>
    <s v=""/>
    <s v=""/>
    <x v="1"/>
    <x v="12"/>
    <s v="ELÉTRICO"/>
    <x v="0"/>
    <n v="30"/>
    <n v="0"/>
    <s v="RECUPERADO O CABO PARTIDO"/>
    <s v="C"/>
    <s v="FALHA EM COMPONENTES ELETRONICO"/>
    <s v="TERMOFORMAGEM GLASUTEC"/>
    <s v=""/>
    <x v="2"/>
    <x v="0"/>
    <x v="0"/>
  </r>
  <r>
    <n v="12498"/>
    <d v="2022-11-04T00:00:00"/>
    <x v="13"/>
    <x v="3"/>
    <x v="1"/>
    <x v="1"/>
    <s v="RUIGUENS"/>
    <s v=""/>
    <s v="ANDERSON"/>
    <s v="JOSINALDO"/>
    <x v="2"/>
    <x v="3"/>
    <s v="ELÉTRICO"/>
    <x v="0"/>
    <n v="40"/>
    <n v="0"/>
    <s v="FEITO ADAPTAÇÃO NA CAIXA DE BINÁRIO E SUBSTITUIDO OS RELÉS"/>
    <s v="C"/>
    <s v="FALHA EM COMPONENTES ELETRONICO"/>
    <s v="PRENSA CORTE INNER DASH"/>
    <s v=""/>
    <x v="2"/>
    <x v="0"/>
    <x v="0"/>
  </r>
  <r>
    <n v="12550"/>
    <d v="2022-11-04T00:00:00"/>
    <x v="3"/>
    <x v="2"/>
    <x v="2"/>
    <x v="2"/>
    <s v="RAFAEL"/>
    <s v="JOSINALDO"/>
    <s v=""/>
    <s v="ANDERSON"/>
    <x v="2"/>
    <x v="15"/>
    <s v="ELÉTRICO"/>
    <x v="0"/>
    <n v="20"/>
    <n v="0"/>
    <s v="SUBSTITUIDO OS RELÉS"/>
    <s v="C"/>
    <s v="FALHA EM COMPONENTES ELETRONICO"/>
    <s v="PRENSA CORTE TUNNEL"/>
    <s v="UTE-04"/>
    <x v="2"/>
    <x v="0"/>
    <x v="0"/>
  </r>
  <r>
    <n v="12792"/>
    <d v="2022-11-04T00:00:00"/>
    <x v="9"/>
    <x v="0"/>
    <x v="0"/>
    <x v="0"/>
    <s v="ROBERT"/>
    <s v=""/>
    <s v=""/>
    <s v=""/>
    <x v="1"/>
    <x v="16"/>
    <s v="MECÂNICO"/>
    <x v="0"/>
    <n v="0"/>
    <n v="13"/>
    <s v="TROCA DA SAFIRA"/>
    <s v="P"/>
    <s v="EQUIPAMENTO TRABALHANDO COM CARGA EXCESSIVA "/>
    <s v="CORTE DO CARPETE- WATER JET"/>
    <s v="UTE-05"/>
    <x v="2"/>
    <x v="0"/>
    <x v="0"/>
  </r>
  <r>
    <n v="12824"/>
    <d v="2022-11-04T00:00:00"/>
    <x v="7"/>
    <x v="0"/>
    <x v="0"/>
    <x v="0"/>
    <s v=""/>
    <s v=""/>
    <s v=""/>
    <s v=""/>
    <x v="2"/>
    <x v="17"/>
    <s v="ELÉTRICO"/>
    <x v="0"/>
    <n v="10"/>
    <n v="0"/>
    <s v="AJUSTE NOS SENSORES"/>
    <s v="C"/>
    <s v="FALHA EM COMPONENTES ELETRONICO"/>
    <s v="VIROLA DO TETO 521"/>
    <s v=""/>
    <x v="2"/>
    <x v="0"/>
    <x v="0"/>
  </r>
  <r>
    <n v="12837"/>
    <d v="2022-11-04T00:00:00"/>
    <x v="13"/>
    <x v="1"/>
    <x v="0"/>
    <x v="0"/>
    <s v="RUIGUENS"/>
    <s v="ANDERSON"/>
    <s v=""/>
    <s v=""/>
    <x v="2"/>
    <x v="1"/>
    <s v="MECÂNICO"/>
    <x v="0"/>
    <n v="20"/>
    <n v="0"/>
    <s v="FEITO LIMPEZA DA VÁLVULA DE ÁGUA"/>
    <s v="P"/>
    <s v="EQUIPAMENTO TRABALHANDO COM CARGA EXCESSIVA "/>
    <s v="ROBÔ ABB APLIC. COLA DO TETO"/>
    <s v=""/>
    <x v="2"/>
    <x v="0"/>
    <x v="0"/>
  </r>
  <r>
    <n v="12952"/>
    <d v="2022-11-04T00:00:00"/>
    <x v="8"/>
    <x v="0"/>
    <x v="0"/>
    <x v="0"/>
    <s v="CRISTIANO"/>
    <s v=""/>
    <s v=""/>
    <s v=""/>
    <x v="1"/>
    <x v="18"/>
    <s v="MECÂNICO"/>
    <x v="0"/>
    <n v="60"/>
    <n v="0"/>
    <s v="CONEXÃO DO IBC DO POLIOL NÃO ESTA FUNCIONANDO "/>
    <s v="P"/>
    <s v="EQUIPAMENTO TRABALHANDO COM CARGA EXCESSIVA "/>
    <s v="INJETORA LEV CELL"/>
    <s v=""/>
    <x v="2"/>
    <x v="0"/>
    <x v="0"/>
  </r>
  <r>
    <n v="12192"/>
    <d v="2022-11-05T00:00:00"/>
    <x v="4"/>
    <x v="3"/>
    <x v="3"/>
    <x v="0"/>
    <s v="JOSINALDO"/>
    <s v=""/>
    <s v="RONALDO"/>
    <s v=""/>
    <x v="2"/>
    <x v="19"/>
    <s v="ELÉTRICO"/>
    <x v="0"/>
    <n v="30"/>
    <n v="0"/>
    <s v="SUBSTITUIDO A BOBINA DO RELÉ "/>
    <s v="C"/>
    <s v="FALHA EM COMPONENTES ELETRONICO"/>
    <s v="PRENSA MOLDAGEM 2"/>
    <s v=""/>
    <x v="3"/>
    <x v="0"/>
    <x v="0"/>
  </r>
  <r>
    <n v="12193"/>
    <d v="2022-11-05T00:00:00"/>
    <x v="7"/>
    <x v="2"/>
    <x v="0"/>
    <x v="0"/>
    <s v=""/>
    <s v="JOSINALDO"/>
    <s v=""/>
    <s v=""/>
    <x v="2"/>
    <x v="19"/>
    <s v="MECÂNICO"/>
    <x v="0"/>
    <n v="5"/>
    <n v="0"/>
    <s v="LIMPEZA NA SAÍDA DA VÁLVULA "/>
    <s v="P"/>
    <s v="EQUIPAMENTO TRABALHANDO COM CARGA EXCESSIVA "/>
    <s v="PRENSA MOLDAGEM 2"/>
    <s v=""/>
    <x v="3"/>
    <x v="0"/>
    <x v="0"/>
  </r>
  <r>
    <n v="12826"/>
    <d v="2022-11-05T00:00:00"/>
    <x v="13"/>
    <x v="0"/>
    <x v="0"/>
    <x v="0"/>
    <s v="RUIGUENS"/>
    <s v=""/>
    <s v=""/>
    <s v=""/>
    <x v="2"/>
    <x v="8"/>
    <s v="MECÂNICO"/>
    <x v="0"/>
    <n v="30"/>
    <n v="0"/>
    <s v="TROCA DO REPARO"/>
    <s v="P"/>
    <s v="EQUIPAMENTO TRABALHANDO COM CARGA EXCESSIVA "/>
    <s v="CORTE DO TETO  - WATER JET 2"/>
    <s v=""/>
    <x v="3"/>
    <x v="0"/>
    <x v="0"/>
  </r>
  <r>
    <n v="12838"/>
    <d v="2022-11-06T00:00:00"/>
    <x v="11"/>
    <x v="0"/>
    <x v="0"/>
    <x v="0"/>
    <s v="VALDEMAR"/>
    <s v=""/>
    <s v=""/>
    <s v=""/>
    <x v="0"/>
    <x v="16"/>
    <s v="MECÂNICO"/>
    <x v="0"/>
    <n v="16"/>
    <n v="0"/>
    <s v="TROCADO DO REPARO DA AGULHA"/>
    <s v="P"/>
    <s v="EQUIPAMENTO TRABALHANDO COM CARGA EXCESSIVA "/>
    <s v="CORTE DO CARPETE- WATER JET"/>
    <s v="UTE-05"/>
    <x v="4"/>
    <x v="0"/>
    <x v="0"/>
  </r>
  <r>
    <n v="12840"/>
    <d v="2022-11-06T00:00:00"/>
    <x v="14"/>
    <x v="5"/>
    <x v="0"/>
    <x v="0"/>
    <s v="EDUARDO"/>
    <s v="VALDEMAR"/>
    <s v=""/>
    <s v=""/>
    <x v="0"/>
    <x v="20"/>
    <s v="MECÂNICO"/>
    <x v="0"/>
    <n v="300"/>
    <n v="0"/>
    <s v="DESOBSTRUÇÃO DA CÂMARA DE MISTURA; SUBSTITUILÇAO DA MANGUIERA DE RETORNO; LIMPEZA DAS CONEXÕES E BLOCOS DO MATERIAL AGITADO"/>
    <s v="P"/>
    <s v="EQUIPAMENTO TRABALHANDO COM CARGA EXCESSIVA "/>
    <s v="PRENSA COM INJEÇÃO PU 1"/>
    <s v=""/>
    <x v="4"/>
    <x v="0"/>
    <x v="0"/>
  </r>
  <r>
    <n v="12953"/>
    <d v="2022-11-06T00:00:00"/>
    <x v="10"/>
    <x v="0"/>
    <x v="0"/>
    <x v="0"/>
    <s v="JOSÉ"/>
    <s v=""/>
    <s v=""/>
    <s v=""/>
    <x v="0"/>
    <x v="9"/>
    <s v="ELÉTRICO"/>
    <x v="0"/>
    <n v="10"/>
    <n v="0"/>
    <s v="REARMADO DISJUNTOR"/>
    <s v="C"/>
    <s v="FALHA EM COMPONENTES ELETRONICO"/>
    <s v=""/>
    <s v=""/>
    <x v="4"/>
    <x v="0"/>
    <x v="0"/>
  </r>
  <r>
    <n v="12954"/>
    <d v="2022-11-06T00:00:00"/>
    <x v="14"/>
    <x v="0"/>
    <x v="0"/>
    <x v="0"/>
    <s v="EDUARDO"/>
    <s v=""/>
    <s v=""/>
    <s v=""/>
    <x v="0"/>
    <x v="1"/>
    <s v="MECÂNICO"/>
    <x v="0"/>
    <n v="60"/>
    <n v="0"/>
    <s v="VERIFICADO A LIMPEZA DA VÁLVULA E MIX DE MISTURA E REPOSCIONADO AS VÁLVULAS "/>
    <s v="P"/>
    <s v="EQUIPAMENTO TRABALHANDO COM CARGA EXCESSIVA "/>
    <s v="ROBÔ ABB APLIC. COLA DO TETO"/>
    <s v=""/>
    <x v="4"/>
    <x v="0"/>
    <x v="0"/>
  </r>
  <r>
    <n v="12957"/>
    <d v="2022-11-06T00:00:00"/>
    <x v="10"/>
    <x v="0"/>
    <x v="0"/>
    <x v="0"/>
    <s v="JOSÉ"/>
    <s v=""/>
    <s v=""/>
    <s v=""/>
    <x v="0"/>
    <x v="12"/>
    <s v="ELÉTRICO"/>
    <x v="0"/>
    <n v="7"/>
    <n v="0"/>
    <s v="REARMADO DISJUNTOR"/>
    <s v="C"/>
    <s v="FALHA EM COMPONENTES ELETRONICO"/>
    <s v="TERMOFORMAGEM GLASUTEC"/>
    <s v=""/>
    <x v="4"/>
    <x v="0"/>
    <x v="0"/>
  </r>
  <r>
    <n v="11500"/>
    <d v="2022-11-07T00:00:00"/>
    <x v="3"/>
    <x v="0"/>
    <x v="0"/>
    <x v="0"/>
    <s v="RAFAEL"/>
    <s v=""/>
    <s v=""/>
    <s v=""/>
    <x v="2"/>
    <x v="20"/>
    <s v="MECÂNICO"/>
    <x v="0"/>
    <n v="20"/>
    <n v="0"/>
    <s v="LIMPEZA DO GICLÊ"/>
    <s v="P"/>
    <s v="EQUIPAMENTO TRABALHANDO COM CARGA EXCESSIVA "/>
    <s v="PRENSA COM INJEÇÃO PU 1"/>
    <s v=""/>
    <x v="5"/>
    <x v="0"/>
    <x v="0"/>
  </r>
  <r>
    <n v="12806"/>
    <d v="2022-11-07T00:00:00"/>
    <x v="1"/>
    <x v="6"/>
    <x v="0"/>
    <x v="0"/>
    <s v="DANILLO"/>
    <s v="GENILSON"/>
    <s v=""/>
    <s v=""/>
    <x v="1"/>
    <x v="6"/>
    <s v="MECÂNICO"/>
    <x v="0"/>
    <n v="55"/>
    <n v="0"/>
    <s v="FEITO DESLOCAMENTO DA HASTE NA BUCHA DO MIX"/>
    <s v="P"/>
    <s v="EQUIPAMENTO TRABALHANDO COM CARGA EXCESSIVA "/>
    <s v="PRENSA COM INJEÇÃO PU INNER 03"/>
    <s v=""/>
    <x v="5"/>
    <x v="0"/>
    <x v="0"/>
  </r>
  <r>
    <n v="12827"/>
    <d v="2022-11-07T00:00:00"/>
    <x v="8"/>
    <x v="0"/>
    <x v="0"/>
    <x v="0"/>
    <s v="CRISTIANO"/>
    <s v=""/>
    <s v=""/>
    <s v=""/>
    <x v="1"/>
    <x v="21"/>
    <s v="MECÂNICO"/>
    <x v="0"/>
    <n v="20"/>
    <n v="0"/>
    <s v="FEITO A TROCA DO EMGATE"/>
    <s v="P"/>
    <s v="EQUIPAMENTO TRABALHANDO COM CARGA EXCESSIVA "/>
    <s v="PRENSA ACOPL. TECIDO DO TETO 2"/>
    <s v=""/>
    <x v="5"/>
    <x v="0"/>
    <x v="0"/>
  </r>
  <r>
    <n v="12828"/>
    <d v="2022-11-07T00:00:00"/>
    <x v="15"/>
    <x v="0"/>
    <x v="0"/>
    <x v="0"/>
    <s v="GENILSON"/>
    <s v=""/>
    <s v=""/>
    <s v=""/>
    <x v="1"/>
    <x v="17"/>
    <s v="MECÂNICO"/>
    <x v="0"/>
    <n v="20"/>
    <n v="0"/>
    <s v="TROCA DA CONEXÃO"/>
    <s v="P"/>
    <s v="EQUIPAMENTO TRABALHANDO COM CARGA EXCESSIVA "/>
    <s v="VIROLA DO TETO 521"/>
    <s v=""/>
    <x v="5"/>
    <x v="0"/>
    <x v="0"/>
  </r>
  <r>
    <n v="12835"/>
    <d v="2022-11-07T00:00:00"/>
    <x v="12"/>
    <x v="0"/>
    <x v="0"/>
    <x v="0"/>
    <s v="SILVIO"/>
    <s v=""/>
    <s v=""/>
    <s v=""/>
    <x v="1"/>
    <x v="11"/>
    <s v="MECÂNICO"/>
    <x v="0"/>
    <n v="5"/>
    <n v="0"/>
    <s v="IDENTIFICADO RACHADURA NA PARTE DO CILINDRO"/>
    <s v="P"/>
    <s v="EQUIPAMENTO TRABALHANDO COM CARGA EXCESSIVA "/>
    <s v="PRENSA MOLDAGEM 1"/>
    <s v=""/>
    <x v="5"/>
    <x v="0"/>
    <x v="0"/>
  </r>
  <r>
    <n v="12839"/>
    <d v="2022-11-07T00:00:00"/>
    <x v="11"/>
    <x v="0"/>
    <x v="0"/>
    <x v="0"/>
    <s v="VALDEMAR"/>
    <s v=""/>
    <s v=""/>
    <s v=""/>
    <x v="0"/>
    <x v="7"/>
    <s v="MECÂNICO"/>
    <x v="0"/>
    <n v="30"/>
    <n v="0"/>
    <s v="REALIZADO A REPOSÇÃO DO CABEÇOTE"/>
    <s v="P"/>
    <s v="EQUIPAMENTO TRABALHANDO COM CARGA EXCESSIVA "/>
    <s v="PRENSA DE MOLDAGEM CARPETE"/>
    <s v=""/>
    <x v="5"/>
    <x v="0"/>
    <x v="0"/>
  </r>
  <r>
    <n v="12842"/>
    <d v="2022-11-07T00:00:00"/>
    <x v="6"/>
    <x v="0"/>
    <x v="0"/>
    <x v="0"/>
    <s v="ELIAS"/>
    <s v=""/>
    <s v=""/>
    <s v=""/>
    <x v="1"/>
    <x v="16"/>
    <s v="MECÂNICO"/>
    <x v="0"/>
    <n v="40"/>
    <n v="0"/>
    <s v="REPARO DA SERPENTINA"/>
    <s v="P"/>
    <s v="EQUIPAMENTO TRABALHANDO COM CARGA EXCESSIVA "/>
    <s v="CORTE DO CARPETE- WATER JET"/>
    <s v=""/>
    <x v="5"/>
    <x v="0"/>
    <x v="0"/>
  </r>
  <r>
    <n v="12843"/>
    <d v="2022-11-07T00:00:00"/>
    <x v="15"/>
    <x v="0"/>
    <x v="0"/>
    <x v="0"/>
    <s v="GENILSON"/>
    <s v=""/>
    <s v=""/>
    <s v=""/>
    <x v="1"/>
    <x v="22"/>
    <s v="ELÉTRICO"/>
    <x v="0"/>
    <n v="25"/>
    <n v="0"/>
    <s v="LIMPEZA E AJUSTE NA BARRERIA DE LUZ"/>
    <s v="C"/>
    <s v="FALHA EM COMPONENTES ELETRONICO"/>
    <s v="PRENSA COM INJEÇÃO PU 2"/>
    <s v=""/>
    <x v="5"/>
    <x v="0"/>
    <x v="0"/>
  </r>
  <r>
    <n v="12845"/>
    <d v="2022-11-07T00:00:00"/>
    <x v="15"/>
    <x v="0"/>
    <x v="0"/>
    <x v="0"/>
    <s v="GENILSON"/>
    <s v=""/>
    <s v=""/>
    <s v=""/>
    <x v="1"/>
    <x v="14"/>
    <s v="ELÉTRICO"/>
    <x v="0"/>
    <n v="20"/>
    <n v="0"/>
    <s v="REFERENCIAMENTO DAS MESAS"/>
    <s v="O"/>
    <s v="NÃO OBSERVAÇÃO DOS PARÂMETROS DE FUNCIONAMENTO DO EQUIPAMENTO"/>
    <s v="PRENSA SOLDA BATE PÉ"/>
    <s v=""/>
    <x v="5"/>
    <x v="0"/>
    <x v="0"/>
  </r>
  <r>
    <n v="12846"/>
    <d v="2022-11-07T00:00:00"/>
    <x v="6"/>
    <x v="0"/>
    <x v="0"/>
    <x v="0"/>
    <s v="ELIAS"/>
    <s v=""/>
    <s v=""/>
    <s v=""/>
    <x v="1"/>
    <x v="7"/>
    <s v="MECÂNICO"/>
    <x v="0"/>
    <n v="45"/>
    <n v="0"/>
    <s v="LIMPEZA DO GICLÊ"/>
    <s v="P"/>
    <s v="EQUIPAMENTO TRABALHANDO COM CARGA EXCESSIVA "/>
    <s v="PRENSA DE MOLDAGEM CARPETE"/>
    <s v=""/>
    <x v="5"/>
    <x v="0"/>
    <x v="0"/>
  </r>
  <r>
    <n v="12916"/>
    <d v="2022-11-07T00:00:00"/>
    <x v="13"/>
    <x v="7"/>
    <x v="0"/>
    <x v="0"/>
    <s v="RUIGUENS"/>
    <s v="RAFAEL"/>
    <s v=""/>
    <s v=""/>
    <x v="2"/>
    <x v="21"/>
    <s v="MECÂNICO"/>
    <x v="0"/>
    <n v="60"/>
    <n v="0"/>
    <s v="NÍVEL DE ÓLEO COMPLETADO"/>
    <s v="P"/>
    <s v="EQUIPAMENTO TRABALHANDO COM CARGA EXCESSIVA "/>
    <s v="PRENSA ACOPL. TECIDO DO TETO 2"/>
    <s v=""/>
    <x v="5"/>
    <x v="0"/>
    <x v="0"/>
  </r>
  <r>
    <n v="12955"/>
    <d v="2022-11-07T00:00:00"/>
    <x v="11"/>
    <x v="0"/>
    <x v="0"/>
    <x v="0"/>
    <s v="VALDEMAR"/>
    <s v=""/>
    <s v=""/>
    <s v=""/>
    <x v="0"/>
    <x v="1"/>
    <s v="MECÂNICO"/>
    <x v="0"/>
    <n v="225"/>
    <n v="0"/>
    <s v="SUBSTITUIDO A MAGUEIRA DO ATUADOR E DESOBSTRUIDO AS VÁLVUALS E CONEXÕES"/>
    <s v="P"/>
    <s v="EQUIPAMENTO TRABALHANDO COM CARGA EXCESSIVA "/>
    <s v="ROBÔ ABB APLIC. COLA DO TETO"/>
    <s v=""/>
    <x v="5"/>
    <x v="0"/>
    <x v="0"/>
  </r>
  <r>
    <n v="12956"/>
    <d v="2022-11-07T00:00:00"/>
    <x v="10"/>
    <x v="0"/>
    <x v="0"/>
    <x v="0"/>
    <s v="JOSÉ"/>
    <s v=""/>
    <s v=""/>
    <s v=""/>
    <x v="0"/>
    <x v="19"/>
    <s v="ELÉTRICO"/>
    <x v="0"/>
    <n v="5"/>
    <n v="0"/>
    <s v="REARMADO DISJUNTOR"/>
    <s v="C"/>
    <s v="FALHA EM COMPONENTES ELETRONICO"/>
    <s v="PRENSA MOLDAGEM 2"/>
    <s v=""/>
    <x v="5"/>
    <x v="0"/>
    <x v="0"/>
  </r>
  <r>
    <n v="12958"/>
    <d v="2022-11-07T00:00:00"/>
    <x v="10"/>
    <x v="0"/>
    <x v="0"/>
    <x v="0"/>
    <s v="JOSÉ"/>
    <s v=""/>
    <s v=""/>
    <s v=""/>
    <x v="0"/>
    <x v="23"/>
    <s v="ELÉTRICO"/>
    <x v="0"/>
    <n v="20"/>
    <n v="0"/>
    <s v="FECHADO A PORTA PARA NORMALIZAÇÃO DE TEMPERATURA"/>
    <s v="C"/>
    <s v="FALHA EM COMPONENTES ELETRONICO"/>
    <s v=""/>
    <s v=""/>
    <x v="5"/>
    <x v="0"/>
    <x v="0"/>
  </r>
  <r>
    <n v="12959"/>
    <d v="2022-11-07T00:00:00"/>
    <x v="13"/>
    <x v="7"/>
    <x v="0"/>
    <x v="0"/>
    <s v="RUIGUENS"/>
    <s v="RAFAEL"/>
    <s v=""/>
    <s v=""/>
    <x v="2"/>
    <x v="24"/>
    <s v="MECÂNICO"/>
    <x v="0"/>
    <n v="20"/>
    <n v="0"/>
    <s v="LIMPEZA NA LINHA DO RETORNO"/>
    <s v="P"/>
    <s v="EQUIPAMENTO TRABALHANDO COM CARGA EXCESSIVA "/>
    <s v="PRENSA ACOPLAGEM CARPETE"/>
    <s v=""/>
    <x v="5"/>
    <x v="0"/>
    <x v="0"/>
  </r>
  <r>
    <s v="-"/>
    <d v="2022-11-07T00:00:00"/>
    <x v="13"/>
    <x v="0"/>
    <x v="0"/>
    <x v="0"/>
    <s v="RUIGUENS"/>
    <s v=""/>
    <s v=""/>
    <s v=""/>
    <x v="2"/>
    <x v="25"/>
    <s v="MECÂNICO"/>
    <x v="0"/>
    <n v="8"/>
    <n v="0"/>
    <s v="COLOCADO BASE NO LUGAR"/>
    <s v="P"/>
    <s v="EQUIPAMENTO TRABALHANDO COM CARGA EXCESSIVA "/>
    <s v=""/>
    <s v=""/>
    <x v="5"/>
    <x v="0"/>
    <x v="0"/>
  </r>
  <r>
    <s v="-"/>
    <d v="2022-11-07T00:00:00"/>
    <x v="13"/>
    <x v="7"/>
    <x v="0"/>
    <x v="0"/>
    <s v="RUIGUENS"/>
    <s v="RAFAEL"/>
    <s v=""/>
    <s v=""/>
    <x v="2"/>
    <x v="26"/>
    <s v="MECÂNICO"/>
    <x v="0"/>
    <n v="25"/>
    <n v="0"/>
    <s v="LIMPEZA NO BICO "/>
    <s v="P"/>
    <s v="EQUIPAMENTO TRABALHANDO COM CARGA EXCESSIVA "/>
    <s v="PRENSA DE ACOPLAGEM TPO"/>
    <s v=""/>
    <x v="5"/>
    <x v="0"/>
    <x v="0"/>
  </r>
  <r>
    <s v="-"/>
    <d v="2022-11-07T00:00:00"/>
    <x v="3"/>
    <x v="0"/>
    <x v="0"/>
    <x v="0"/>
    <s v="RAFAEL"/>
    <s v=""/>
    <s v=""/>
    <s v=""/>
    <x v="2"/>
    <x v="27"/>
    <s v="MECÂNICO"/>
    <x v="0"/>
    <n v="10"/>
    <n v="0"/>
    <s v="TROCA DA CONEXÃO"/>
    <s v="P"/>
    <s v="EQUIPAMENTO TRABALHANDO COM CARGA EXCESSIVA "/>
    <s v=""/>
    <s v=""/>
    <x v="5"/>
    <x v="0"/>
    <x v="0"/>
  </r>
  <r>
    <n v="12195"/>
    <d v="2022-11-08T00:00:00"/>
    <x v="13"/>
    <x v="2"/>
    <x v="4"/>
    <x v="0"/>
    <s v="RUIGUENS"/>
    <s v="JOSINALDO"/>
    <s v="RAFAEL"/>
    <s v=""/>
    <x v="2"/>
    <x v="11"/>
    <s v="MECÂNICO"/>
    <x v="0"/>
    <n v="56"/>
    <n v="0"/>
    <s v="NÍVEL DE ÓLEO COMPLETADO"/>
    <s v="P"/>
    <s v="EQUIPAMENTO TRABALHANDO COM CARGA EXCESSIVA "/>
    <s v="PRENSA MOLDAGEM 1"/>
    <s v=""/>
    <x v="6"/>
    <x v="0"/>
    <x v="0"/>
  </r>
  <r>
    <n v="12655"/>
    <d v="2022-11-08T00:00:00"/>
    <x v="11"/>
    <x v="0"/>
    <x v="0"/>
    <x v="0"/>
    <s v="VALDEMAR"/>
    <s v=""/>
    <s v=""/>
    <s v=""/>
    <x v="0"/>
    <x v="28"/>
    <s v="MECÂNICO"/>
    <x v="0"/>
    <n v="87"/>
    <n v="0"/>
    <s v="TROCADO O PARAFUSO E OS ESPAÇADORES"/>
    <s v="P"/>
    <s v="EQUIPAMENTO TRABALHANDO COM CARGA EXCESSIVA "/>
    <s v="PRENSA MOLDAGEM INNER DASH"/>
    <s v=""/>
    <x v="6"/>
    <x v="0"/>
    <x v="0"/>
  </r>
  <r>
    <n v="12918"/>
    <d v="2022-11-08T00:00:00"/>
    <x v="9"/>
    <x v="8"/>
    <x v="0"/>
    <x v="0"/>
    <s v="ROBERT"/>
    <s v="DANILLO"/>
    <s v=""/>
    <s v=""/>
    <x v="1"/>
    <x v="29"/>
    <s v="MECÂNICO"/>
    <x v="0"/>
    <n v="18"/>
    <n v="0"/>
    <s v="LIMPEZA NO BICO DA PISTOLA DE COLA"/>
    <s v="P"/>
    <s v="EQUIPAMENTO TRABALHANDO COM CARGA EXCESSIVA "/>
    <s v=""/>
    <s v=""/>
    <x v="6"/>
    <x v="0"/>
    <x v="0"/>
  </r>
  <r>
    <n v="12919"/>
    <d v="2022-11-08T00:00:00"/>
    <x v="1"/>
    <x v="9"/>
    <x v="0"/>
    <x v="0"/>
    <s v="DANILLO"/>
    <s v="RONALDO"/>
    <s v=""/>
    <s v=""/>
    <x v="1"/>
    <x v="4"/>
    <s v="MECÂNICO"/>
    <x v="0"/>
    <n v="170"/>
    <n v="0"/>
    <s v="COMPLETADO NÍVEL DE ÓLEO"/>
    <s v="P"/>
    <s v="EQUIPAMENTO TRABALHANDO COM CARGA EXCESSIVA "/>
    <s v="PRENSA MOLDAGEM HOOD"/>
    <s v=""/>
    <x v="6"/>
    <x v="0"/>
    <x v="0"/>
  </r>
  <r>
    <n v="12920"/>
    <d v="2022-11-08T00:00:00"/>
    <x v="12"/>
    <x v="0"/>
    <x v="0"/>
    <x v="0"/>
    <s v="SILVIO"/>
    <s v=""/>
    <s v=""/>
    <s v=""/>
    <x v="1"/>
    <x v="29"/>
    <s v="ELÉTRICO"/>
    <x v="0"/>
    <n v="25"/>
    <n v="0"/>
    <s v="AJUSTE NO GATILHO DA PISTOLA"/>
    <s v="C"/>
    <s v="FALHA EM COMPONENTES ELETRONICO"/>
    <s v=""/>
    <s v=""/>
    <x v="6"/>
    <x v="0"/>
    <x v="0"/>
  </r>
  <r>
    <n v="12922"/>
    <d v="2022-11-08T00:00:00"/>
    <x v="1"/>
    <x v="0"/>
    <x v="0"/>
    <x v="0"/>
    <s v="DANILLO"/>
    <s v=""/>
    <s v=""/>
    <s v=""/>
    <x v="1"/>
    <x v="6"/>
    <s v="MECÂNICO"/>
    <x v="0"/>
    <n v="40"/>
    <n v="0"/>
    <s v="REPOSICIONADO O CABO"/>
    <s v="P"/>
    <s v="EQUIPAMENTO TRABALHANDO COM CARGA EXCESSIVA "/>
    <s v="PRENSA COM INJEÇÃO PU INNER 03"/>
    <s v=""/>
    <x v="6"/>
    <x v="0"/>
    <x v="0"/>
  </r>
  <r>
    <n v="12960"/>
    <d v="2022-11-08T00:00:00"/>
    <x v="10"/>
    <x v="0"/>
    <x v="0"/>
    <x v="0"/>
    <s v="JOSÉ"/>
    <s v=""/>
    <s v=""/>
    <s v=""/>
    <x v="0"/>
    <x v="30"/>
    <s v="ELÉTRICO"/>
    <x v="0"/>
    <n v="90"/>
    <n v="0"/>
    <s v="SUBSTITUIDO 3 CONETORES DA RESISTÊNCIA"/>
    <s v="C"/>
    <s v="FALHA EM COMPONENTES ELETRONICO"/>
    <s v="PRENSA TERMOFORMAGEM"/>
    <s v=""/>
    <x v="6"/>
    <x v="0"/>
    <x v="0"/>
  </r>
  <r>
    <n v="12961"/>
    <d v="2022-11-08T00:00:00"/>
    <x v="1"/>
    <x v="0"/>
    <x v="0"/>
    <x v="0"/>
    <s v="DANILLO"/>
    <s v=""/>
    <s v=""/>
    <s v=""/>
    <x v="1"/>
    <x v="31"/>
    <s v="ELÉTRICO"/>
    <x v="0"/>
    <n v="0"/>
    <n v="10"/>
    <s v="RESET DO INVERSOR DE FREQUÊNCIA"/>
    <s v="C"/>
    <s v="FALHA EM COMPONENTES ELETRONICO"/>
    <s v="INJETORA CARPETE"/>
    <s v=""/>
    <x v="6"/>
    <x v="0"/>
    <x v="0"/>
  </r>
  <r>
    <n v="12962"/>
    <d v="2022-11-08T00:00:00"/>
    <x v="9"/>
    <x v="0"/>
    <x v="0"/>
    <x v="0"/>
    <s v="ROBERT"/>
    <s v=""/>
    <s v=""/>
    <s v=""/>
    <x v="1"/>
    <x v="16"/>
    <s v="MECÂNICO"/>
    <x v="0"/>
    <n v="50"/>
    <n v="0"/>
    <s v="REPARO DA SERPENTINA"/>
    <s v="P"/>
    <s v="EQUIPAMENTO TRABALHANDO COM CARGA EXCESSIVA "/>
    <s v="CORTE DO CARPETE- WATER JET"/>
    <s v=""/>
    <x v="6"/>
    <x v="0"/>
    <x v="0"/>
  </r>
  <r>
    <n v="12963"/>
    <d v="2022-11-08T00:00:00"/>
    <x v="9"/>
    <x v="0"/>
    <x v="0"/>
    <x v="0"/>
    <s v="ROBERT"/>
    <s v=""/>
    <s v=""/>
    <s v=""/>
    <x v="1"/>
    <x v="16"/>
    <s v="MECÂNICO"/>
    <x v="0"/>
    <n v="82"/>
    <n v="0"/>
    <s v="RECOLOCADO A HASTE DO CILINDRO"/>
    <s v="P"/>
    <s v="EQUIPAMENTO TRABALHANDO COM CARGA EXCESSIVA "/>
    <s v="CORTE DO CARPETE- WATER JET"/>
    <s v=""/>
    <x v="6"/>
    <x v="0"/>
    <x v="0"/>
  </r>
  <r>
    <n v="14001"/>
    <d v="2022-11-08T00:00:00"/>
    <x v="3"/>
    <x v="0"/>
    <x v="0"/>
    <x v="0"/>
    <s v="RAFAEL"/>
    <s v=""/>
    <s v=""/>
    <s v=""/>
    <x v="2"/>
    <x v="31"/>
    <s v="MECÂNICO"/>
    <x v="0"/>
    <n v="57"/>
    <n v="0"/>
    <s v="MONTAGEM E LIMPEZA DAS BOMBAS"/>
    <s v="P"/>
    <s v="EQUIPAMENTO TRABALHANDO COM CARGA EXCESSIVA "/>
    <s v="INJETORA CARPETE"/>
    <s v=""/>
    <x v="6"/>
    <x v="0"/>
    <x v="0"/>
  </r>
  <r>
    <n v="12965"/>
    <d v="2022-11-09T00:00:00"/>
    <x v="11"/>
    <x v="10"/>
    <x v="5"/>
    <x v="0"/>
    <s v="VALDEMAR"/>
    <s v="EDUARDO"/>
    <s v="JOSÉ"/>
    <s v=""/>
    <x v="0"/>
    <x v="32"/>
    <s v="MECÂNICO"/>
    <x v="0"/>
    <n v="80"/>
    <n v="0"/>
    <s v="DESTRAVAMENTO DA PRENÇA"/>
    <s v="P"/>
    <s v="EQUIPAMENTO TRABALHANDO COM CARGA EXCESSIVA "/>
    <s v="PRENSA ACOPL. TECIDO DO TETO 1"/>
    <s v=""/>
    <x v="7"/>
    <x v="0"/>
    <x v="0"/>
  </r>
  <r>
    <n v="12966"/>
    <d v="2022-11-09T00:00:00"/>
    <x v="11"/>
    <x v="10"/>
    <x v="5"/>
    <x v="0"/>
    <s v="VALDEMAR"/>
    <s v="EDUARDO"/>
    <s v="JOSÉ"/>
    <s v=""/>
    <x v="0"/>
    <x v="8"/>
    <s v="MECÂNICO"/>
    <x v="0"/>
    <n v="20"/>
    <n v="0"/>
    <s v="REPOSICIONAMENTO DA MESA"/>
    <s v="P"/>
    <s v="EQUIPAMENTO TRABALHANDO COM CARGA EXCESSIVA "/>
    <s v="CORTE DO TETO  - WATER JET 2"/>
    <s v=""/>
    <x v="7"/>
    <x v="0"/>
    <x v="0"/>
  </r>
  <r>
    <n v="12967"/>
    <d v="2022-11-09T00:00:00"/>
    <x v="1"/>
    <x v="0"/>
    <x v="0"/>
    <x v="0"/>
    <s v="DANILLO"/>
    <s v=""/>
    <s v=""/>
    <s v=""/>
    <x v="1"/>
    <x v="14"/>
    <s v="MECÂNICO"/>
    <x v="0"/>
    <n v="20"/>
    <n v="0"/>
    <s v="FEITO LIMPEZA NA REGIÃO DE SOLDA DO DESCANSO DO BATE-PÉ"/>
    <s v="P"/>
    <s v="EQUIPAMENTO TRABALHANDO COM CARGA EXCESSIVA "/>
    <s v="PRENSA SOLDA BATE PÉ"/>
    <s v=""/>
    <x v="7"/>
    <x v="0"/>
    <x v="0"/>
  </r>
  <r>
    <n v="12968"/>
    <d v="2022-11-09T00:00:00"/>
    <x v="9"/>
    <x v="0"/>
    <x v="0"/>
    <x v="0"/>
    <s v="ROBERT"/>
    <s v=""/>
    <s v=""/>
    <s v=""/>
    <x v="1"/>
    <x v="16"/>
    <s v="MECÂNICO"/>
    <x v="0"/>
    <n v="20"/>
    <n v="0"/>
    <s v="CALIBRAÇÃO E ATUALIZAÇÃO DOS EIXOS 1 E6"/>
    <s v="P"/>
    <s v="EQUIPAMENTO TRABALHANDO COM CARGA EXCESSIVA "/>
    <s v="CORTE DO CARPETE- WATER JET"/>
    <s v=""/>
    <x v="7"/>
    <x v="0"/>
    <x v="0"/>
  </r>
  <r>
    <n v="12968"/>
    <d v="2022-11-09T00:00:00"/>
    <x v="15"/>
    <x v="0"/>
    <x v="0"/>
    <x v="0"/>
    <s v="GENILSON"/>
    <s v=""/>
    <s v=""/>
    <s v=""/>
    <x v="1"/>
    <x v="16"/>
    <s v="MECÂNICO"/>
    <x v="0"/>
    <n v="20"/>
    <n v="0"/>
    <s v="CALIBRAÇÃO DOS EIXOS"/>
    <s v="P"/>
    <s v="EQUIPAMENTO TRABALHANDO COM CARGA EXCESSIVA "/>
    <s v="CORTE DO CARPETE- WATER JET"/>
    <s v=""/>
    <x v="7"/>
    <x v="0"/>
    <x v="0"/>
  </r>
  <r>
    <n v="12969"/>
    <d v="2022-11-09T00:00:00"/>
    <x v="9"/>
    <x v="0"/>
    <x v="0"/>
    <x v="0"/>
    <s v="ROBERT"/>
    <s v=""/>
    <s v=""/>
    <s v=""/>
    <x v="1"/>
    <x v="16"/>
    <s v="MECÂNICO"/>
    <x v="0"/>
    <n v="53"/>
    <n v="0"/>
    <s v="VAZAMENTO DE AGUA NA SERPENTINA DO ROBO 2"/>
    <s v="P"/>
    <s v="EQUIPAMENTO TRABALHANDO COM CARGA EXCESSIVA "/>
    <s v="CORTE DO CARPETE- WATER JET"/>
    <s v=""/>
    <x v="7"/>
    <x v="0"/>
    <x v="0"/>
  </r>
  <r>
    <n v="12970"/>
    <d v="2022-11-09T00:00:00"/>
    <x v="9"/>
    <x v="0"/>
    <x v="0"/>
    <x v="0"/>
    <s v="ROBERT"/>
    <s v=""/>
    <s v=""/>
    <s v=""/>
    <x v="1"/>
    <x v="33"/>
    <s v="MECÂNICO"/>
    <x v="0"/>
    <n v="48"/>
    <n v="0"/>
    <s v="REPARO DA SERPENTINA"/>
    <s v="P"/>
    <s v="EQUIPAMENTO TRABALHANDO COM CARGA EXCESSIVA "/>
    <s v="CORTE DO CARPETE- WATER JET"/>
    <s v=""/>
    <x v="7"/>
    <x v="0"/>
    <x v="0"/>
  </r>
  <r>
    <n v="15034"/>
    <d v="2022-11-09T00:00:00"/>
    <x v="3"/>
    <x v="0"/>
    <x v="0"/>
    <x v="0"/>
    <s v="RAFAEL"/>
    <s v=""/>
    <s v=""/>
    <s v=""/>
    <x v="2"/>
    <x v="33"/>
    <s v="MECÂNICO"/>
    <x v="0"/>
    <n v="13"/>
    <n v="0"/>
    <s v="REPARO DA SERPENTINA"/>
    <s v="P"/>
    <s v="EQUIPAMENTO TRABALHANDO COM CARGA EXCESSIVA "/>
    <s v="CORTE DO CARPETE- WATER JET"/>
    <s v=""/>
    <x v="7"/>
    <x v="0"/>
    <x v="0"/>
  </r>
  <r>
    <n v="12638"/>
    <d v="2022-11-10T00:00:00"/>
    <x v="13"/>
    <x v="0"/>
    <x v="0"/>
    <x v="0"/>
    <s v="RUIGUENS"/>
    <s v=""/>
    <s v=""/>
    <s v=""/>
    <x v="2"/>
    <x v="1"/>
    <s v="MECÂNICO"/>
    <x v="0"/>
    <n v="150"/>
    <n v="0"/>
    <s v="TROCA DAS MANGUIERAS; LIMPEZA DAS CONEXÕES E DA VÁLVULA DO ATUADOR"/>
    <s v="P"/>
    <s v="EQUIPAMENTO TRABALHANDO COM CARGA EXCESSIVA "/>
    <s v="ROBÔ ABB APLIC. COLA DO TETO"/>
    <s v=""/>
    <x v="8"/>
    <x v="0"/>
    <x v="0"/>
  </r>
  <r>
    <n v="12974"/>
    <d v="2022-11-10T00:00:00"/>
    <x v="10"/>
    <x v="0"/>
    <x v="0"/>
    <x v="0"/>
    <s v="JOSÉ"/>
    <s v=""/>
    <s v=""/>
    <s v=""/>
    <x v="0"/>
    <x v="19"/>
    <s v="ELÉTRICO"/>
    <x v="0"/>
    <n v="4"/>
    <n v="0"/>
    <s v="REARMADO DISJUNTOR"/>
    <s v="C"/>
    <s v="FALHA EM COMPONENTES ELETRONICO"/>
    <s v="PRENSA MOLDAGEM 2"/>
    <s v=""/>
    <x v="8"/>
    <x v="0"/>
    <x v="0"/>
  </r>
  <r>
    <n v="12976"/>
    <d v="2022-11-10T00:00:00"/>
    <x v="1"/>
    <x v="0"/>
    <x v="0"/>
    <x v="0"/>
    <s v="DANILLO"/>
    <s v=""/>
    <s v=""/>
    <s v=""/>
    <x v="1"/>
    <x v="23"/>
    <s v="ELÉTRICO"/>
    <x v="0"/>
    <n v="25"/>
    <n v="0"/>
    <s v="DESTRAVAMENTO DA MÁQUIMA"/>
    <s v="C"/>
    <s v="FALHA EM COMPONENTES ELETRONICO"/>
    <s v=""/>
    <s v=""/>
    <x v="8"/>
    <x v="0"/>
    <x v="0"/>
  </r>
  <r>
    <n v="13101"/>
    <d v="2022-11-10T00:00:00"/>
    <x v="13"/>
    <x v="0"/>
    <x v="0"/>
    <x v="0"/>
    <s v="RUIGUENS"/>
    <s v=""/>
    <s v=""/>
    <s v=""/>
    <x v="2"/>
    <x v="25"/>
    <s v="ELÉTRICO"/>
    <x v="0"/>
    <n v="7"/>
    <n v="0"/>
    <s v="AJUSTE NO SENSOR DO CILINDRO"/>
    <s v="C"/>
    <s v="FALHA EM COMPONENTES ELETRONICO"/>
    <s v=""/>
    <s v=""/>
    <x v="8"/>
    <x v="0"/>
    <x v="0"/>
  </r>
  <r>
    <n v="15029"/>
    <d v="2022-11-10T00:00:00"/>
    <x v="4"/>
    <x v="11"/>
    <x v="0"/>
    <x v="0"/>
    <s v="JOSINALDO"/>
    <s v="JOSÉ"/>
    <s v=""/>
    <s v=""/>
    <x v="2"/>
    <x v="31"/>
    <s v="ELÉTRICO"/>
    <x v="0"/>
    <n v="7"/>
    <n v="0"/>
    <s v="AJUSTE NA FREQUÊNCIA DO INVERSOR"/>
    <s v="C"/>
    <s v="FALHA EM COMPONENTES ELETRONICO"/>
    <s v="INJETORA CARPETE"/>
    <s v=""/>
    <x v="8"/>
    <x v="0"/>
    <x v="0"/>
  </r>
  <r>
    <n v="15031"/>
    <d v="2022-11-10T00:00:00"/>
    <x v="1"/>
    <x v="12"/>
    <x v="0"/>
    <x v="0"/>
    <s v="DANILLO"/>
    <s v="FELIPE"/>
    <s v=""/>
    <s v=""/>
    <x v="1"/>
    <x v="13"/>
    <s v="MECÂNICO"/>
    <x v="0"/>
    <n v="60"/>
    <n v="0"/>
    <s v="DESOBSTRUÇÃO DO GICLÊ"/>
    <s v="P"/>
    <s v="EQUIPAMENTO TRABALHANDO COM CARGA EXCESSIVA "/>
    <s v="PRENSA COM INJEÇÃO PU INNER 02"/>
    <s v=""/>
    <x v="8"/>
    <x v="0"/>
    <x v="0"/>
  </r>
  <r>
    <n v="15032"/>
    <d v="2022-11-10T00:00:00"/>
    <x v="1"/>
    <x v="12"/>
    <x v="0"/>
    <x v="0"/>
    <s v="DANILLO"/>
    <s v="FELIPE"/>
    <s v=""/>
    <s v=""/>
    <x v="1"/>
    <x v="6"/>
    <s v="MECÂNICO"/>
    <x v="0"/>
    <n v="60"/>
    <n v="0"/>
    <s v="DESTRAVAMENTO DA HASTE DE LIMPEZA"/>
    <s v="P"/>
    <s v="EQUIPAMENTO TRABALHANDO COM CARGA EXCESSIVA "/>
    <s v="PRENSA COM INJEÇÃO PU INNER 03"/>
    <s v=""/>
    <x v="8"/>
    <x v="0"/>
    <x v="0"/>
  </r>
  <r>
    <n v="13002"/>
    <d v="2022-11-11T00:00:00"/>
    <x v="8"/>
    <x v="0"/>
    <x v="0"/>
    <x v="0"/>
    <s v="CRISTIANO"/>
    <s v=""/>
    <s v=""/>
    <s v=""/>
    <x v="1"/>
    <x v="19"/>
    <s v="MECÂNICO"/>
    <x v="0"/>
    <n v="57"/>
    <n v="0"/>
    <s v="TROCA DO REAPRO DA TUBULAÇÃO"/>
    <s v="P"/>
    <s v="EQUIPAMENTO TRABALHANDO COM CARGA EXCESSIVA "/>
    <s v="PRENSA MOLDAGEM 2"/>
    <s v=""/>
    <x v="9"/>
    <x v="0"/>
    <x v="0"/>
  </r>
  <r>
    <n v="12978"/>
    <d v="2022-11-12T00:00:00"/>
    <x v="11"/>
    <x v="10"/>
    <x v="0"/>
    <x v="0"/>
    <s v="VALDEMAR"/>
    <s v="EDUARDO"/>
    <s v=""/>
    <s v=""/>
    <x v="0"/>
    <x v="19"/>
    <s v="MECÂNICO"/>
    <x v="0"/>
    <n v="30"/>
    <n v="0"/>
    <s v="ABASTECIMENTO DA PRENSA"/>
    <s v="P"/>
    <s v="EQUIPAMENTO TRABALHANDO COM CARGA EXCESSIVA "/>
    <s v="PRENSA MOLDAGEM 2"/>
    <s v=""/>
    <x v="10"/>
    <x v="0"/>
    <x v="0"/>
  </r>
  <r>
    <n v="12647"/>
    <d v="2022-11-20T00:00:00"/>
    <x v="14"/>
    <x v="0"/>
    <x v="0"/>
    <x v="0"/>
    <s v="EDUARDO"/>
    <s v=""/>
    <s v=""/>
    <s v=""/>
    <x v="0"/>
    <x v="1"/>
    <s v="MECÂNICO"/>
    <x v="0"/>
    <n v="0"/>
    <n v="30"/>
    <s v="REALIZADA LIMPEZA DA VÁLVULA DO ATIVADOR"/>
    <s v="P"/>
    <s v="EQUIPAMENTO TRABALHANDO COM CARGA EXCESSIVA "/>
    <s v="ROBÔ ABB APLIC. COLA DO TETO"/>
    <s v=""/>
    <x v="11"/>
    <x v="0"/>
    <x v="0"/>
  </r>
  <r>
    <n v="12649"/>
    <d v="2022-11-20T00:00:00"/>
    <x v="14"/>
    <x v="0"/>
    <x v="0"/>
    <x v="0"/>
    <s v="EDUARDO"/>
    <s v=""/>
    <s v=""/>
    <s v=""/>
    <x v="0"/>
    <x v="1"/>
    <s v="MECÂNICO"/>
    <x v="0"/>
    <n v="0"/>
    <n v="210"/>
    <s v="REPOSICIONAMENTO DAS VÁLVULAS E SUBSTITUIÇÃO DAS MANGUEIRAS DO ATUADOR"/>
    <s v="P"/>
    <s v="EQUIPAMENTO TRABALHANDO COM CARGA EXCESSIVA "/>
    <s v="ROBÔ ABB APLIC. COLA DO TETO"/>
    <s v=""/>
    <x v="11"/>
    <x v="0"/>
    <x v="0"/>
  </r>
  <r>
    <n v="12657"/>
    <d v="2022-11-20T00:00:00"/>
    <x v="11"/>
    <x v="10"/>
    <x v="0"/>
    <x v="0"/>
    <s v="VALDEMAR"/>
    <s v="EDUARDO"/>
    <s v=""/>
    <s v=""/>
    <x v="0"/>
    <x v="13"/>
    <s v="MECÂNICO"/>
    <x v="0"/>
    <n v="0"/>
    <n v="60"/>
    <s v="DESMONTADO E LUBRIFICADO A VÁLVULA DE ATUAÇÃO DO CILINDRO"/>
    <s v="P"/>
    <s v="EQUIPAMENTO TRABALHANDO COM CARGA EXCESSIVA "/>
    <s v="PRENSA COM INJEÇÃO PU INNER 02"/>
    <s v=""/>
    <x v="11"/>
    <x v="0"/>
    <x v="0"/>
  </r>
  <r>
    <n v="15035"/>
    <d v="2022-11-20T00:00:00"/>
    <x v="11"/>
    <x v="11"/>
    <x v="0"/>
    <x v="0"/>
    <s v="VALDEMAR"/>
    <s v="JOSÉ"/>
    <s v=""/>
    <s v=""/>
    <x v="0"/>
    <x v="31"/>
    <s v="ELÉTRICO"/>
    <x v="0"/>
    <n v="0"/>
    <n v="2"/>
    <s v="LIGADO MEXEDOR NO IHM"/>
    <s v="C"/>
    <s v="FALHA EM COMPONENTES ELETRONICO"/>
    <s v="INJETORA CARPETE"/>
    <s v=""/>
    <x v="11"/>
    <x v="0"/>
    <x v="0"/>
  </r>
  <r>
    <n v="10052"/>
    <d v="2022-11-21T00:00:00"/>
    <x v="15"/>
    <x v="13"/>
    <x v="0"/>
    <x v="0"/>
    <s v="GENILSON"/>
    <s v="ELIAS"/>
    <s v=""/>
    <s v=""/>
    <x v="1"/>
    <x v="34"/>
    <s v="MECÂNICO"/>
    <x v="0"/>
    <n v="60"/>
    <n v="0"/>
    <s v="RETIRADO AR DA LINHA E DESTRVADO AS VÁLVULAS"/>
    <s v="P"/>
    <s v="EQUIPAMENTO TRABALHANDO COM CARGA EXCESSIVA "/>
    <s v="INJETORA CANON"/>
    <s v=""/>
    <x v="12"/>
    <x v="0"/>
    <x v="0"/>
  </r>
  <r>
    <n v="12646"/>
    <d v="2022-11-21T00:00:00"/>
    <x v="14"/>
    <x v="5"/>
    <x v="0"/>
    <x v="0"/>
    <s v="EDUARDO"/>
    <s v="VALDEMAR"/>
    <s v=""/>
    <s v=""/>
    <x v="0"/>
    <x v="19"/>
    <s v="MECÂNICO"/>
    <x v="0"/>
    <n v="35"/>
    <n v="0"/>
    <s v="NÍVEL DE ÓLEO COMPLETADO"/>
    <s v="P"/>
    <s v="EQUIPAMENTO TRABALHANDO COM CARGA EXCESSIVA "/>
    <s v="PRENSA MOLDAGEM 2"/>
    <s v=""/>
    <x v="12"/>
    <x v="0"/>
    <x v="0"/>
  </r>
  <r>
    <n v="12648"/>
    <d v="2022-11-21T00:00:00"/>
    <x v="10"/>
    <x v="0"/>
    <x v="0"/>
    <x v="0"/>
    <s v="JOSÉ"/>
    <s v=""/>
    <s v=""/>
    <s v=""/>
    <x v="0"/>
    <x v="30"/>
    <s v="ELÉTRICO"/>
    <x v="0"/>
    <n v="110"/>
    <n v="0"/>
    <s v="SUBSTITUIÇÃO DOS CONECTORES DA RESISTÊNCIA"/>
    <s v="C"/>
    <s v="FALHA EM COMPONENTES ELETRONICO"/>
    <s v="PRENSA TERMOFORMAGEM"/>
    <s v=""/>
    <x v="12"/>
    <x v="0"/>
    <x v="0"/>
  </r>
  <r>
    <n v="12658"/>
    <d v="2022-11-21T00:00:00"/>
    <x v="14"/>
    <x v="0"/>
    <x v="0"/>
    <x v="0"/>
    <s v="EDUARDO"/>
    <s v=""/>
    <s v=""/>
    <s v=""/>
    <x v="0"/>
    <x v="6"/>
    <s v="MECÂNICO"/>
    <x v="0"/>
    <n v="40"/>
    <n v="0"/>
    <s v="REFEITA A TUBULAÇÃO HIDRÁULICA"/>
    <s v="P"/>
    <s v="EQUIPAMENTO TRABALHANDO COM CARGA EXCESSIVA "/>
    <s v="PRENSA COM INJEÇÃO PU INNER 03"/>
    <s v=""/>
    <x v="12"/>
    <x v="0"/>
    <x v="0"/>
  </r>
  <r>
    <n v="12659"/>
    <d v="2022-11-21T00:00:00"/>
    <x v="14"/>
    <x v="5"/>
    <x v="0"/>
    <x v="0"/>
    <s v="EDUARDO"/>
    <s v="VALDEMAR"/>
    <s v=""/>
    <s v=""/>
    <x v="0"/>
    <x v="11"/>
    <s v="MECÂNICO"/>
    <x v="0"/>
    <n v="30"/>
    <n v="0"/>
    <s v="NÍVEL DE ÓLEO COMPLETADO"/>
    <s v="P"/>
    <s v="EQUIPAMENTO TRABALHANDO COM CARGA EXCESSIVA "/>
    <s v="PRENSA MOLDAGEM 1"/>
    <s v=""/>
    <x v="12"/>
    <x v="0"/>
    <x v="0"/>
  </r>
  <r>
    <n v="12660"/>
    <d v="2022-11-21T00:00:00"/>
    <x v="15"/>
    <x v="0"/>
    <x v="0"/>
    <x v="0"/>
    <s v="GENILSON"/>
    <s v=""/>
    <s v=""/>
    <s v=""/>
    <x v="1"/>
    <x v="0"/>
    <s v="ELÉTRICO"/>
    <x v="0"/>
    <n v="48"/>
    <n v="0"/>
    <s v="LIMPEZA NO PAINEL ELÉTRICO"/>
    <s v="C"/>
    <s v="FALHA EM COMPONENTES ELETRONICO"/>
    <s v="FORNO DO TETO"/>
    <s v=""/>
    <x v="12"/>
    <x v="0"/>
    <x v="0"/>
  </r>
  <r>
    <n v="12980"/>
    <d v="2022-11-21T00:00:00"/>
    <x v="15"/>
    <x v="13"/>
    <x v="0"/>
    <x v="0"/>
    <s v="GENILSON"/>
    <s v="ELIAS"/>
    <s v=""/>
    <s v=""/>
    <x v="1"/>
    <x v="19"/>
    <s v="MECÂNICO"/>
    <x v="0"/>
    <n v="130"/>
    <n v="0"/>
    <s v="NÍVEL DE ÓLEO COMPLETADO"/>
    <s v="P"/>
    <s v="EQUIPAMENTO TRABALHANDO COM CARGA EXCESSIVA "/>
    <s v="PRENSA MOLDAGEM 2"/>
    <s v=""/>
    <x v="12"/>
    <x v="0"/>
    <x v="0"/>
  </r>
  <r>
    <n v="12981"/>
    <d v="2022-11-21T00:00:00"/>
    <x v="5"/>
    <x v="7"/>
    <x v="0"/>
    <x v="0"/>
    <s v="ANDERSON"/>
    <s v="RAFAEL"/>
    <s v=""/>
    <s v=""/>
    <x v="2"/>
    <x v="35"/>
    <s v="MECÂNICO"/>
    <x v="0"/>
    <n v="21"/>
    <n v="0"/>
    <s v="SUBSTITUIÇÃO DA MANGUEIRA"/>
    <s v="P"/>
    <s v="EQUIPAMENTO TRABALHANDO COM CARGA EXCESSIVA "/>
    <s v=""/>
    <s v=""/>
    <x v="12"/>
    <x v="0"/>
    <x v="0"/>
  </r>
  <r>
    <n v="13009"/>
    <d v="2022-11-21T00:00:00"/>
    <x v="5"/>
    <x v="0"/>
    <x v="0"/>
    <x v="0"/>
    <s v="ANDERSON"/>
    <s v=""/>
    <s v=""/>
    <s v=""/>
    <x v="2"/>
    <x v="25"/>
    <s v="MECÂNICO"/>
    <x v="0"/>
    <n v="12"/>
    <n v="0"/>
    <s v="LIMPEZA NO BLOBO DA PISTOLA"/>
    <s v="P"/>
    <s v="EQUIPAMENTO TRABALHANDO COM CARGA EXCESSIVA "/>
    <s v=""/>
    <s v=""/>
    <x v="12"/>
    <x v="0"/>
    <x v="0"/>
  </r>
  <r>
    <n v="13051"/>
    <d v="2022-11-21T00:00:00"/>
    <x v="15"/>
    <x v="0"/>
    <x v="0"/>
    <x v="0"/>
    <s v="GENILSON"/>
    <s v=""/>
    <s v=""/>
    <s v=""/>
    <x v="1"/>
    <x v="13"/>
    <s v="MECÂNICO"/>
    <x v="0"/>
    <n v="60"/>
    <n v="0"/>
    <s v="TROCA DO CABO DO SENSOR EIXO DE LIMPEZA"/>
    <s v="P"/>
    <s v="EQUIPAMENTO TRABALHANDO COM CARGA EXCESSIVA "/>
    <s v="PRENSA COM INJEÇÃO PU INNER 02"/>
    <s v=""/>
    <x v="12"/>
    <x v="0"/>
    <x v="0"/>
  </r>
  <r>
    <n v="13053"/>
    <d v="2022-11-21T00:00:00"/>
    <x v="13"/>
    <x v="3"/>
    <x v="0"/>
    <x v="0"/>
    <s v="RUIGUENS"/>
    <s v=""/>
    <s v=""/>
    <s v=""/>
    <x v="2"/>
    <x v="13"/>
    <s v="MECÂNICO"/>
    <x v="0"/>
    <n v="8"/>
    <n v="0"/>
    <s v="PILOTAGEM DA VÁLVULA"/>
    <s v="P"/>
    <s v="EQUIPAMENTO TRABALHANDO COM CARGA EXCESSIVA "/>
    <s v="PRENSA COM INJEÇÃO PU INNER 02"/>
    <s v=""/>
    <x v="12"/>
    <x v="0"/>
    <x v="0"/>
  </r>
  <r>
    <n v="13103"/>
    <d v="2022-11-21T00:00:00"/>
    <x v="2"/>
    <x v="0"/>
    <x v="0"/>
    <x v="0"/>
    <s v="FELIPE"/>
    <s v=""/>
    <s v=""/>
    <s v=""/>
    <x v="1"/>
    <x v="36"/>
    <s v="MECÂNICO"/>
    <x v="0"/>
    <n v="69"/>
    <n v="0"/>
    <s v="SUBSTITUIÇÃO DA MANGUEIRA"/>
    <s v="P"/>
    <s v="EQUIPAMENTO TRABALHANDO COM CARGA EXCESSIVA "/>
    <s v=""/>
    <s v=""/>
    <x v="12"/>
    <x v="0"/>
    <x v="0"/>
  </r>
  <r>
    <n v="13104"/>
    <d v="2022-11-21T00:00:00"/>
    <x v="2"/>
    <x v="0"/>
    <x v="0"/>
    <x v="0"/>
    <s v="FELIPE"/>
    <s v=""/>
    <s v=""/>
    <s v=""/>
    <x v="1"/>
    <x v="17"/>
    <s v="MECÂNICO"/>
    <x v="0"/>
    <n v="34"/>
    <n v="0"/>
    <s v="LIMPEZA NA AGULHA"/>
    <s v="P"/>
    <s v="EQUIPAMENTO TRABALHANDO COM CARGA EXCESSIVA "/>
    <s v="VIROLA DO TETO 521"/>
    <s v=""/>
    <x v="12"/>
    <x v="0"/>
    <x v="0"/>
  </r>
  <r>
    <n v="13105"/>
    <d v="2022-11-21T00:00:00"/>
    <x v="1"/>
    <x v="0"/>
    <x v="0"/>
    <x v="0"/>
    <s v="DANILLO"/>
    <s v=""/>
    <s v=""/>
    <s v=""/>
    <x v="1"/>
    <x v="29"/>
    <s v="MECÂNICO"/>
    <x v="0"/>
    <n v="80"/>
    <n v="0"/>
    <s v="TROCA DA AGULHA E DO OCNJUNTO DE VEDAÇÃO"/>
    <s v="P"/>
    <s v="EQUIPAMENTO TRABALHANDO COM CARGA EXCESSIVA "/>
    <s v=""/>
    <s v=""/>
    <x v="12"/>
    <x v="0"/>
    <x v="0"/>
  </r>
  <r>
    <n v="13106"/>
    <d v="2022-11-21T00:00:00"/>
    <x v="9"/>
    <x v="0"/>
    <x v="0"/>
    <x v="0"/>
    <s v="ROBERT"/>
    <s v=""/>
    <s v=""/>
    <s v=""/>
    <x v="1"/>
    <x v="8"/>
    <s v="MECÂNICO"/>
    <x v="0"/>
    <n v="20"/>
    <n v="0"/>
    <s v="TROCA DA SAFIRA"/>
    <s v="P"/>
    <s v="EQUIPAMENTO TRABALHANDO COM CARGA EXCESSIVA "/>
    <s v="CORTE DO TETO  - WATER JET 2"/>
    <s v=""/>
    <x v="12"/>
    <x v="0"/>
    <x v="0"/>
  </r>
  <r>
    <n v="13107"/>
    <d v="2022-11-21T00:00:00"/>
    <x v="4"/>
    <x v="3"/>
    <x v="0"/>
    <x v="0"/>
    <s v="JOSINALDO"/>
    <s v=""/>
    <s v=""/>
    <s v=""/>
    <x v="2"/>
    <x v="8"/>
    <s v="MECÂNICO"/>
    <x v="0"/>
    <n v="25"/>
    <n v="0"/>
    <s v="MAL CONTATO NO CABO DA VÁLVULA DO ROBÔ 2, COLOCADO ABRAÇADEIRA DE NYLON"/>
    <s v="P"/>
    <s v="EQUIPAMENTO TRABALHANDO COM CARGA EXCESSIVA "/>
    <s v="CORTE DO TETO  - WATER JET 2"/>
    <s v=""/>
    <x v="12"/>
    <x v="0"/>
    <x v="0"/>
  </r>
  <r>
    <n v="13108"/>
    <d v="2022-11-21T00:00:00"/>
    <x v="3"/>
    <x v="2"/>
    <x v="0"/>
    <x v="0"/>
    <s v="RAFAEL"/>
    <s v="JOSINALDO"/>
    <s v=""/>
    <s v=""/>
    <x v="2"/>
    <x v="37"/>
    <s v="MECÂNICO"/>
    <x v="0"/>
    <n v="30"/>
    <n v="0"/>
    <s v="LIMPEZA E REGULAGEM DA AGULHA DA PISTOLA DE COLA 521; PISTOLA 2"/>
    <s v="P"/>
    <s v="EQUIPAMENTO TRABALHANDO COM CARGA EXCESSIVA "/>
    <s v=""/>
    <s v=""/>
    <x v="12"/>
    <x v="0"/>
    <x v="0"/>
  </r>
  <r>
    <n v="13151"/>
    <d v="2022-11-21T00:00:00"/>
    <x v="6"/>
    <x v="0"/>
    <x v="0"/>
    <x v="0"/>
    <s v="ELIAS"/>
    <s v=""/>
    <s v=""/>
    <s v=""/>
    <x v="1"/>
    <x v="26"/>
    <s v="MECÂNICO"/>
    <x v="0"/>
    <n v="60"/>
    <n v="0"/>
    <s v="TROCA DA MANGUEIRA E LIMPEZA DO BLOCO DE COLA"/>
    <s v="P"/>
    <s v="EQUIPAMENTO TRABALHANDO COM CARGA EXCESSIVA "/>
    <s v="PRENSA DE ACOPLAGEM TPO"/>
    <s v=""/>
    <x v="12"/>
    <x v="0"/>
    <x v="0"/>
  </r>
  <r>
    <n v="13153"/>
    <d v="2022-11-21T00:00:00"/>
    <x v="6"/>
    <x v="14"/>
    <x v="0"/>
    <x v="0"/>
    <s v="ELIAS"/>
    <s v="SILVIO"/>
    <s v=""/>
    <s v=""/>
    <x v="1"/>
    <x v="22"/>
    <s v="MECÂNICO"/>
    <x v="0"/>
    <n v="50"/>
    <n v="0"/>
    <s v="TROCA DO CABO DO SENSOR "/>
    <s v="P"/>
    <s v="EQUIPAMENTO TRABALHANDO COM CARGA EXCESSIVA "/>
    <s v="PRENSA COM INJEÇÃO PU 2"/>
    <s v=""/>
    <x v="12"/>
    <x v="0"/>
    <x v="0"/>
  </r>
  <r>
    <n v="13155"/>
    <d v="2022-11-21T00:00:00"/>
    <x v="12"/>
    <x v="0"/>
    <x v="0"/>
    <x v="0"/>
    <s v="SILVIO"/>
    <s v=""/>
    <s v=""/>
    <s v=""/>
    <x v="1"/>
    <x v="15"/>
    <s v="ELÉTRICO"/>
    <x v="0"/>
    <n v="30"/>
    <n v="0"/>
    <s v="FALHA NA CPU, FEITO LIMPEZA E REAPERTO"/>
    <s v="C"/>
    <s v="FALHA EM COMPONENTES ELETRONICO"/>
    <s v="PRENSA CORTE TUNNEL"/>
    <s v=""/>
    <x v="12"/>
    <x v="0"/>
    <x v="0"/>
  </r>
  <r>
    <n v="13156"/>
    <d v="2022-11-21T00:00:00"/>
    <x v="9"/>
    <x v="0"/>
    <x v="0"/>
    <x v="0"/>
    <s v="ROBERT"/>
    <s v=""/>
    <s v=""/>
    <s v=""/>
    <x v="1"/>
    <x v="16"/>
    <s v="MECÂNICO"/>
    <x v="0"/>
    <n v="20"/>
    <n v="0"/>
    <s v="DESOBSTRUÇÃO DA SAFIRA"/>
    <s v="P"/>
    <s v="EQUIPAMENTO TRABALHANDO COM CARGA EXCESSIVA "/>
    <s v="CORTE DO CARPETE- WATER JET"/>
    <s v=""/>
    <x v="12"/>
    <x v="0"/>
    <x v="0"/>
  </r>
  <r>
    <n v="13157"/>
    <d v="2022-11-21T00:00:00"/>
    <x v="4"/>
    <x v="3"/>
    <x v="0"/>
    <x v="0"/>
    <s v="JOSINALDO"/>
    <s v=""/>
    <s v=""/>
    <s v=""/>
    <x v="2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3951"/>
    <d v="2022-11-21T00:00:00"/>
    <x v="13"/>
    <x v="7"/>
    <x v="0"/>
    <x v="0"/>
    <s v="RUIGUENS"/>
    <s v="RAFAEL"/>
    <s v=""/>
    <s v=""/>
    <x v="2"/>
    <x v="28"/>
    <s v="MECÂNICO"/>
    <x v="0"/>
    <n v="20"/>
    <n v="0"/>
    <s v="COLOCADO PISADOR NO LUGAR"/>
    <s v="P"/>
    <s v="EQUIPAMENTO TRABALHANDO COM CARGA EXCESSIVA "/>
    <s v="PRENSA MOLDAGEM INNER DASH"/>
    <s v=""/>
    <x v="12"/>
    <x v="0"/>
    <x v="0"/>
  </r>
  <r>
    <n v="15036"/>
    <d v="2022-11-21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5037"/>
    <d v="2022-11-21T00:00:00"/>
    <x v="11"/>
    <x v="0"/>
    <x v="0"/>
    <x v="0"/>
    <s v="VALDEMAR"/>
    <s v=""/>
    <s v=""/>
    <s v=""/>
    <x v="0"/>
    <x v="16"/>
    <s v="ELÉTRICO"/>
    <x v="0"/>
    <n v="20"/>
    <n v="0"/>
    <s v="FALHA INTERMITENTE"/>
    <s v="P"/>
    <s v="EQUIPAMENTO TRABALHANDO COM CARGA EXCESSIVA "/>
    <s v="CORTE DO CARPETE- WATER JET"/>
    <s v=""/>
    <x v="12"/>
    <x v="0"/>
    <x v="0"/>
  </r>
  <r>
    <n v="13007"/>
    <d v="2022-11-22T00:00:00"/>
    <x v="0"/>
    <x v="14"/>
    <x v="0"/>
    <x v="0"/>
    <s v="RONALDO"/>
    <s v="SILVIO"/>
    <s v=""/>
    <s v=""/>
    <x v="0"/>
    <x v="1"/>
    <s v="ELÉTRICO"/>
    <x v="0"/>
    <n v="40"/>
    <n v="0"/>
    <s v="TROCA DO SENSOR E FIXAÇÃO DA BASE DO MESMO"/>
    <s v="C"/>
    <s v="FALHA EM COMPONENTES ELETRONICO"/>
    <s v="ROBÔ ABB APLIC. COLA DO TETO"/>
    <s v=""/>
    <x v="13"/>
    <x v="0"/>
    <x v="0"/>
  </r>
  <r>
    <n v="13008"/>
    <d v="2022-11-22T00:00:00"/>
    <x v="10"/>
    <x v="0"/>
    <x v="0"/>
    <x v="0"/>
    <s v="JOSÉ"/>
    <s v=""/>
    <s v=""/>
    <s v=""/>
    <x v="0"/>
    <x v="11"/>
    <s v="ELÉTRICO"/>
    <x v="0"/>
    <n v="10"/>
    <n v="0"/>
    <s v="REARMADO DISJUNTOR"/>
    <s v="C"/>
    <s v="FALHA EM COMPONENTES ELETRONICO"/>
    <s v="PRENSA MOLDAGEM 1"/>
    <s v=""/>
    <x v="13"/>
    <x v="0"/>
    <x v="0"/>
  </r>
  <r>
    <n v="13010"/>
    <d v="2022-11-22T00:00:00"/>
    <x v="10"/>
    <x v="0"/>
    <x v="0"/>
    <x v="0"/>
    <s v="JOSÉ"/>
    <s v=""/>
    <s v=""/>
    <s v=""/>
    <x v="0"/>
    <x v="19"/>
    <s v="ELÉTRICO"/>
    <x v="0"/>
    <n v="5"/>
    <n v="0"/>
    <s v="RESET"/>
    <s v="C"/>
    <s v="FALHA EM COMPONENTES ELETRONICO"/>
    <s v="PRENSA MOLDAGEM 2"/>
    <s v=""/>
    <x v="13"/>
    <x v="0"/>
    <x v="0"/>
  </r>
  <r>
    <n v="13054"/>
    <d v="2022-11-22T00:00:00"/>
    <x v="3"/>
    <x v="0"/>
    <x v="0"/>
    <x v="0"/>
    <s v="RAFAEL"/>
    <s v=""/>
    <s v=""/>
    <s v=""/>
    <x v="2"/>
    <x v="38"/>
    <s v="MECÂNICO"/>
    <x v="0"/>
    <n v="18"/>
    <n v="0"/>
    <s v="ALINHAMENTO DA TUBULAÇÃO HIDRÁULICA"/>
    <s v="P"/>
    <s v="EQUIPAMENTO TRABALHANDO COM CARGA EXCESSIVA "/>
    <s v="PRENSA DE CORTE DO TETO"/>
    <s v=""/>
    <x v="13"/>
    <x v="0"/>
    <x v="0"/>
  </r>
  <r>
    <n v="13102"/>
    <d v="2022-11-22T00:00:00"/>
    <x v="15"/>
    <x v="0"/>
    <x v="0"/>
    <x v="0"/>
    <s v="GENILSON"/>
    <s v=""/>
    <s v=""/>
    <s v=""/>
    <x v="1"/>
    <x v="8"/>
    <s v="MECÂNICO"/>
    <x v="0"/>
    <n v="50"/>
    <n v="0"/>
    <s v="TROCA DA SAFIRA"/>
    <s v="P"/>
    <s v="EQUIPAMENTO TRABALHANDO COM CARGA EXCESSIVA "/>
    <s v="CORTE DO TETO  - WATER JET 2"/>
    <s v=""/>
    <x v="13"/>
    <x v="0"/>
    <x v="0"/>
  </r>
  <r>
    <n v="13109"/>
    <d v="2022-11-22T00:00:00"/>
    <x v="12"/>
    <x v="0"/>
    <x v="0"/>
    <x v="0"/>
    <s v="SILVIO"/>
    <s v=""/>
    <s v=""/>
    <s v=""/>
    <x v="1"/>
    <x v="1"/>
    <s v="ELÉTRICO"/>
    <x v="0"/>
    <n v="25"/>
    <n v="0"/>
    <s v="BANDEJA DO ROBO DE COLA PASSANDO DIRETO"/>
    <s v="P"/>
    <s v="EQUIPAMENTO TRABALHANDO COM CARGA EXCESSIVA "/>
    <s v="ROBÔ ABB APLIC. COLA DO TETO"/>
    <s v=""/>
    <x v="13"/>
    <x v="0"/>
    <x v="0"/>
  </r>
  <r>
    <n v="13110"/>
    <d v="2022-11-22T00:00:00"/>
    <x v="1"/>
    <x v="0"/>
    <x v="0"/>
    <x v="0"/>
    <s v="DANILLO"/>
    <s v=""/>
    <s v=""/>
    <s v=""/>
    <x v="1"/>
    <x v="29"/>
    <s v="MECÂNICO"/>
    <x v="0"/>
    <n v="50"/>
    <n v="0"/>
    <s v="TROCA DO KIT DA AGULHA COM VEDAÇÃO ORING DA PISTOLA 2"/>
    <s v="P"/>
    <s v="EQUIPAMENTO TRABALHANDO COM CARGA EXCESSIVA "/>
    <s v=""/>
    <s v=""/>
    <x v="13"/>
    <x v="0"/>
    <x v="0"/>
  </r>
  <r>
    <n v="13111"/>
    <d v="2022-11-22T00:00:00"/>
    <x v="15"/>
    <x v="15"/>
    <x v="0"/>
    <x v="0"/>
    <s v="GENILSON"/>
    <s v="ROBERT"/>
    <s v=""/>
    <s v=""/>
    <x v="1"/>
    <x v="39"/>
    <s v="ELÉTRICO"/>
    <x v="0"/>
    <n v="120"/>
    <n v="0"/>
    <s v="AJUSTE NO CIRCUITO DE AQUECIMENTO DA PISTOLA"/>
    <s v="C"/>
    <s v="FALHA EM COMPONENTES ELETRONICO"/>
    <s v=""/>
    <s v=""/>
    <x v="13"/>
    <x v="0"/>
    <x v="0"/>
  </r>
  <r>
    <n v="13113"/>
    <d v="2022-11-22T00:00:00"/>
    <x v="12"/>
    <x v="9"/>
    <x v="6"/>
    <x v="0"/>
    <s v="SILVIO"/>
    <s v="RONALDO"/>
    <s v="GENILSON"/>
    <s v=""/>
    <x v="1"/>
    <x v="17"/>
    <s v="MECÂNICO"/>
    <x v="0"/>
    <n v="20"/>
    <n v="0"/>
    <s v="REMOÇÃO DE FALHA NA SÉRIE DE EMERGÊNCIA"/>
    <s v="P"/>
    <s v="EQUIPAMENTO TRABALHANDO COM CARGA EXCESSIVA "/>
    <s v="VIROLA DO TETO 521"/>
    <s v=""/>
    <x v="13"/>
    <x v="0"/>
    <x v="0"/>
  </r>
  <r>
    <n v="13114"/>
    <d v="2022-11-22T00:00:00"/>
    <x v="3"/>
    <x v="0"/>
    <x v="0"/>
    <x v="0"/>
    <s v="RAFAEL"/>
    <s v=""/>
    <s v=""/>
    <s v=""/>
    <x v="2"/>
    <x v="25"/>
    <s v="MECÂNICO"/>
    <x v="0"/>
    <n v="20"/>
    <n v="0"/>
    <s v="LIMPEZA DO BLOCO"/>
    <s v="P"/>
    <s v="EQUIPAMENTO TRABALHANDO COM CARGA EXCESSIVA "/>
    <s v=""/>
    <s v=""/>
    <x v="13"/>
    <x v="0"/>
    <x v="0"/>
  </r>
  <r>
    <n v="13115"/>
    <d v="2022-11-22T00:00:00"/>
    <x v="3"/>
    <x v="0"/>
    <x v="0"/>
    <x v="0"/>
    <s v="RAFAEL"/>
    <s v=""/>
    <s v=""/>
    <s v=""/>
    <x v="2"/>
    <x v="37"/>
    <s v="MECÂNICO"/>
    <x v="0"/>
    <n v="30"/>
    <n v="0"/>
    <s v="TROCA DO ORING"/>
    <s v="P"/>
    <s v="EQUIPAMENTO TRABALHANDO COM CARGA EXCESSIVA "/>
    <s v=""/>
    <s v=""/>
    <x v="13"/>
    <x v="0"/>
    <x v="0"/>
  </r>
  <r>
    <n v="13116"/>
    <d v="2022-11-22T00:00:00"/>
    <x v="15"/>
    <x v="0"/>
    <x v="0"/>
    <x v="0"/>
    <s v="GENILSON"/>
    <s v=""/>
    <s v=""/>
    <s v=""/>
    <x v="1"/>
    <x v="17"/>
    <s v="ELÉTRICO"/>
    <x v="0"/>
    <n v="25"/>
    <n v="0"/>
    <s v="RESET NO CLP"/>
    <s v="C"/>
    <s v="FALHA EM COMPONENTES ELETRONICO"/>
    <s v="VIROLA DO TETO 521"/>
    <s v=""/>
    <x v="13"/>
    <x v="0"/>
    <x v="0"/>
  </r>
  <r>
    <n v="13158"/>
    <d v="2022-11-22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3"/>
    <x v="0"/>
    <x v="0"/>
  </r>
  <r>
    <n v="13160"/>
    <d v="2022-11-22T00:00:00"/>
    <x v="5"/>
    <x v="4"/>
    <x v="4"/>
    <x v="0"/>
    <s v="ANDERSON"/>
    <s v="RUIGUENS"/>
    <s v="RAFAEL"/>
    <s v=""/>
    <x v="2"/>
    <x v="26"/>
    <s v="MECÂNICO"/>
    <x v="0"/>
    <n v="30"/>
    <n v="0"/>
    <s v="LIMPEZA NO BLOBO  E NO BICO DO ROBÔ"/>
    <s v="P"/>
    <s v="EQUIPAMENTO TRABALHANDO COM CARGA EXCESSIVA "/>
    <s v="PRENSA DE ACOPLAGEM TPO"/>
    <s v=""/>
    <x v="13"/>
    <x v="0"/>
    <x v="0"/>
  </r>
  <r>
    <n v="13161"/>
    <d v="2022-11-22T00:00:00"/>
    <x v="3"/>
    <x v="1"/>
    <x v="0"/>
    <x v="0"/>
    <s v="RAFAEL"/>
    <s v="ANDERSON"/>
    <s v=""/>
    <s v=""/>
    <x v="2"/>
    <x v="33"/>
    <s v="MECÂNICO"/>
    <x v="0"/>
    <n v="15"/>
    <n v="0"/>
    <s v="FEITO AJUSTE NO SENSOR DO CILINDRO E REFERENCIADO O ROBÔ 1"/>
    <s v="P"/>
    <s v="EQUIPAMENTO TRABALHANDO COM CARGA EXCESSIVA "/>
    <s v="CORTE DO CARPETE- WATER JET"/>
    <s v=""/>
    <x v="13"/>
    <x v="0"/>
    <x v="0"/>
  </r>
  <r>
    <n v="13173"/>
    <d v="2022-11-22T00:00:00"/>
    <x v="5"/>
    <x v="2"/>
    <x v="0"/>
    <x v="0"/>
    <s v="ANDERSON"/>
    <s v="JOSINALDO"/>
    <s v=""/>
    <s v=""/>
    <x v="2"/>
    <x v="26"/>
    <s v="ELÉTRICO"/>
    <x v="0"/>
    <n v="17"/>
    <n v="0"/>
    <s v="SUBSTITUIÇÃO DO FIM DE CURSO"/>
    <s v="C"/>
    <s v="FALHA EM COMPONENTES ELETRONICO"/>
    <s v="PRENSA DE ACOPLAGEM TPO"/>
    <s v=""/>
    <x v="13"/>
    <x v="0"/>
    <x v="0"/>
  </r>
  <r>
    <n v="13952"/>
    <d v="2022-11-22T00:00:00"/>
    <x v="14"/>
    <x v="0"/>
    <x v="0"/>
    <x v="0"/>
    <s v="EDUARDO"/>
    <s v=""/>
    <s v=""/>
    <s v=""/>
    <x v="0"/>
    <x v="13"/>
    <s v="MECÂNICO"/>
    <x v="0"/>
    <n v="20"/>
    <n v="0"/>
    <s v="ACIONAMENTO MANUAL PARA DESTRAVAR A VÁLVULA DE MISTURA"/>
    <s v="P"/>
    <s v="EQUIPAMENTO TRABALHANDO COM CARGA EXCESSIVA "/>
    <s v="PRENSA COM INJEÇÃO PU INNER 02"/>
    <s v=""/>
    <x v="13"/>
    <x v="0"/>
    <x v="0"/>
  </r>
  <r>
    <n v="13954"/>
    <d v="2022-11-22T00:00:00"/>
    <x v="15"/>
    <x v="15"/>
    <x v="0"/>
    <x v="0"/>
    <s v="GENILSON"/>
    <s v="ROBERT"/>
    <s v=""/>
    <s v=""/>
    <x v="1"/>
    <x v="13"/>
    <s v="MECÂNICO"/>
    <x v="0"/>
    <n v="40"/>
    <n v="0"/>
    <s v="REALIZADO AJUSTE NAS PRESSÕES DO SISTEMA HIDRÁULICO"/>
    <s v="P"/>
    <s v="EQUIPAMENTO TRABALHANDO COM CARGA EXCESSIVA "/>
    <s v="PRENSA COM INJEÇÃO PU INNER 02"/>
    <s v=""/>
    <x v="13"/>
    <x v="0"/>
    <x v="0"/>
  </r>
  <r>
    <n v="13955"/>
    <d v="2022-11-22T00:00:00"/>
    <x v="8"/>
    <x v="0"/>
    <x v="0"/>
    <x v="0"/>
    <s v="CRISTIANO"/>
    <s v=""/>
    <s v=""/>
    <s v=""/>
    <x v="1"/>
    <x v="34"/>
    <s v="MECÂNICO"/>
    <x v="0"/>
    <n v="45"/>
    <n v="0"/>
    <s v="SUBSTITUIÇÃO DA BOMBA DE ISSO"/>
    <s v="P"/>
    <s v="EQUIPAMENTO TRABALHANDO COM CARGA EXCESSIVA "/>
    <s v="INJETORA CANON"/>
    <s v=""/>
    <x v="13"/>
    <x v="0"/>
    <x v="0"/>
  </r>
  <r>
    <n v="13956"/>
    <d v="2022-11-22T00:00:00"/>
    <x v="12"/>
    <x v="0"/>
    <x v="0"/>
    <x v="0"/>
    <s v="SILVIO"/>
    <s v=""/>
    <s v=""/>
    <s v=""/>
    <x v="1"/>
    <x v="18"/>
    <s v="ELÉTRICO"/>
    <x v="0"/>
    <n v="30"/>
    <n v="0"/>
    <s v="AQUECEDOR NÃO ESTA EM AUTOMATICO"/>
    <s v="P"/>
    <s v="EQUIPAMENTO TRABALHANDO COM CARGA EXCESSIVA "/>
    <s v="INJETORA LEV CELL"/>
    <s v=""/>
    <x v="13"/>
    <x v="0"/>
    <x v="0"/>
  </r>
  <r>
    <n v="13957"/>
    <d v="2022-11-22T00:00:00"/>
    <x v="12"/>
    <x v="0"/>
    <x v="0"/>
    <x v="0"/>
    <s v="SILVIO"/>
    <s v=""/>
    <s v=""/>
    <s v=""/>
    <x v="1"/>
    <x v="6"/>
    <s v="ELÉTRICO"/>
    <x v="0"/>
    <n v="25"/>
    <n v="0"/>
    <s v="SENSOR DO QUADRO DE GIRO NÃO ATUANDO"/>
    <s v="C"/>
    <s v="FALHA EM COMPONENTES ELETRONICO"/>
    <s v="PRENSA COM INJEÇÃO PU INNER 03"/>
    <s v=""/>
    <x v="13"/>
    <x v="0"/>
    <x v="0"/>
  </r>
  <r>
    <n v="13958"/>
    <d v="2022-11-22T00:00:00"/>
    <x v="2"/>
    <x v="0"/>
    <x v="0"/>
    <x v="0"/>
    <s v="FELIPE"/>
    <s v=""/>
    <s v=""/>
    <s v=""/>
    <x v="1"/>
    <x v="13"/>
    <s v="MECÂNICO"/>
    <x v="0"/>
    <n v="41"/>
    <n v="0"/>
    <s v="RETIRADO O MANÔMETRO E COLOCADO UM TAMPÃO"/>
    <s v="P"/>
    <s v="EQUIPAMENTO TRABALHANDO COM CARGA EXCESSIVA "/>
    <s v="PRENSA COM INJEÇÃO PU INNER 02"/>
    <s v=""/>
    <x v="13"/>
    <x v="0"/>
    <x v="0"/>
  </r>
  <r>
    <n v="13959"/>
    <d v="2022-11-22T00:00:00"/>
    <x v="3"/>
    <x v="0"/>
    <x v="0"/>
    <x v="0"/>
    <s v="RAFAEL"/>
    <s v=""/>
    <s v=""/>
    <s v=""/>
    <x v="2"/>
    <x v="5"/>
    <s v="MECÂNICO"/>
    <x v="0"/>
    <n v="10"/>
    <n v="0"/>
    <s v="PALIATIVO COM AR PNEUMÁTICO"/>
    <s v="P"/>
    <s v="EQUIPAMENTO TRABALHANDO COM CARGA EXCESSIVA "/>
    <s v="INJETORA INNER DASH"/>
    <s v=""/>
    <x v="13"/>
    <x v="0"/>
    <x v="0"/>
  </r>
  <r>
    <n v="13960"/>
    <d v="2022-11-22T00:00:00"/>
    <x v="13"/>
    <x v="0"/>
    <x v="0"/>
    <x v="0"/>
    <s v="RUIGUENS"/>
    <s v=""/>
    <s v=""/>
    <s v=""/>
    <x v="2"/>
    <x v="6"/>
    <s v="MECÂNICO"/>
    <x v="0"/>
    <n v="20"/>
    <n v="0"/>
    <s v="FEITO TROCA DO SENSOR DO QUADRO DE GIRO"/>
    <s v="P"/>
    <s v="EQUIPAMENTO TRABALHANDO COM CARGA EXCESSIVA "/>
    <s v="PRENSA COM INJEÇÃO PU INNER 03"/>
    <s v=""/>
    <x v="13"/>
    <x v="0"/>
    <x v="0"/>
  </r>
  <r>
    <n v="14025"/>
    <d v="2022-11-22T00:00:00"/>
    <x v="15"/>
    <x v="0"/>
    <x v="0"/>
    <x v="0"/>
    <s v="GENILSON"/>
    <s v=""/>
    <s v=""/>
    <s v=""/>
    <x v="1"/>
    <x v="22"/>
    <s v="MECÂNICO"/>
    <x v="0"/>
    <n v="30"/>
    <n v="0"/>
    <s v="REALIZADO AJUSTE NOS GICLÊS ISO E POLIOL"/>
    <s v="P"/>
    <s v="EQUIPAMENTO TRABALHANDO COM CARGA EXCESSIVA "/>
    <s v="PRENSA COM INJEÇÃO PU 2"/>
    <s v=""/>
    <x v="13"/>
    <x v="0"/>
    <x v="0"/>
  </r>
  <r>
    <n v="14026"/>
    <d v="2022-11-22T00:00:00"/>
    <x v="9"/>
    <x v="6"/>
    <x v="0"/>
    <x v="0"/>
    <s v="ROBERT"/>
    <s v="GENILSON"/>
    <s v=""/>
    <s v=""/>
    <x v="1"/>
    <x v="22"/>
    <s v="MECÂNICO"/>
    <x v="0"/>
    <n v="65"/>
    <n v="0"/>
    <s v="REALIZADO A REGULAGEM DE PRESSÃO DE ISO"/>
    <s v="P"/>
    <s v="EQUIPAMENTO TRABALHANDO COM CARGA EXCESSIVA "/>
    <s v="PRENSA COM INJEÇÃO PU 2"/>
    <s v=""/>
    <x v="13"/>
    <x v="0"/>
    <x v="0"/>
  </r>
  <r>
    <n v="14028"/>
    <d v="2022-11-22T00:00:00"/>
    <x v="11"/>
    <x v="0"/>
    <x v="0"/>
    <x v="0"/>
    <s v="VALDEMAR"/>
    <s v=""/>
    <s v=""/>
    <s v=""/>
    <x v="0"/>
    <x v="16"/>
    <s v="MECÂNICO"/>
    <x v="0"/>
    <n v="15"/>
    <n v="0"/>
    <s v="TROCA DA SAFIRA"/>
    <s v="P"/>
    <s v="EQUIPAMENTO TRABALHANDO COM CARGA EXCESSIVA "/>
    <s v="CORTE DO CARPETE- WATER JET"/>
    <s v=""/>
    <x v="13"/>
    <x v="0"/>
    <x v="0"/>
  </r>
  <r>
    <n v="15024"/>
    <d v="2022-11-22T00:00:00"/>
    <x v="8"/>
    <x v="0"/>
    <x v="0"/>
    <x v="0"/>
    <s v="CRISTIANO"/>
    <s v=""/>
    <s v=""/>
    <s v=""/>
    <x v="1"/>
    <x v="33"/>
    <s v="MECÂNICO"/>
    <x v="0"/>
    <n v="35"/>
    <n v="0"/>
    <s v="REPARO DA SERPENTINA"/>
    <s v="P"/>
    <s v="EQUIPAMENTO TRABALHANDO COM CARGA EXCESSIVA "/>
    <s v="CORTE DO CARPETE- WATER JET"/>
    <s v=""/>
    <x v="13"/>
    <x v="0"/>
    <x v="0"/>
  </r>
  <r>
    <n v="15027"/>
    <d v="2022-11-22T00:00:00"/>
    <x v="11"/>
    <x v="0"/>
    <x v="0"/>
    <x v="0"/>
    <s v="VALDEMAR"/>
    <s v=""/>
    <s v=""/>
    <s v=""/>
    <x v="0"/>
    <x v="33"/>
    <s v="MECÂNICO"/>
    <x v="0"/>
    <n v="20"/>
    <n v="0"/>
    <s v="CALIBRAGEM DO ROBÔ 1 E DA MESA; COLODO ROBÔ EM HOME"/>
    <s v="P"/>
    <s v="EQUIPAMENTO TRABALHANDO COM CARGA EXCESSIVA "/>
    <s v="CORTE DO CARPETE- WATER JET"/>
    <s v=""/>
    <x v="13"/>
    <x v="0"/>
    <x v="0"/>
  </r>
  <r>
    <n v="12181"/>
    <d v="2022-11-23T00:00:00"/>
    <x v="4"/>
    <x v="1"/>
    <x v="0"/>
    <x v="0"/>
    <s v="JOSINALDO"/>
    <s v="ANDERSON"/>
    <s v=""/>
    <s v=""/>
    <x v="2"/>
    <x v="19"/>
    <s v="ELÉTRICO"/>
    <x v="0"/>
    <n v="15"/>
    <n v="0"/>
    <s v="RESET MA BARREIRA DE LUZ"/>
    <s v="C"/>
    <s v="FALHA EM COMPONENTES ELETRONICO"/>
    <s v="PRENSA MOLDAGEM 2"/>
    <s v=""/>
    <x v="14"/>
    <x v="0"/>
    <x v="0"/>
  </r>
  <r>
    <n v="12983"/>
    <d v="2022-11-23T00:00:00"/>
    <x v="1"/>
    <x v="0"/>
    <x v="0"/>
    <x v="0"/>
    <s v="DANILLO"/>
    <s v=""/>
    <s v=""/>
    <s v=""/>
    <x v="1"/>
    <x v="11"/>
    <s v="MECÂNICO"/>
    <x v="0"/>
    <n v="30"/>
    <n v="0"/>
    <s v="LIMPEZA NOS SENSORES DO SITEMA"/>
    <s v="P"/>
    <s v="EQUIPAMENTO TRABALHANDO COM CARGA EXCESSIVA "/>
    <s v="PRENSA MOLDAGEM 1"/>
    <s v=""/>
    <x v="14"/>
    <x v="0"/>
    <x v="0"/>
  </r>
  <r>
    <n v="12984"/>
    <d v="2022-11-23T00:00:00"/>
    <x v="12"/>
    <x v="0"/>
    <x v="0"/>
    <x v="0"/>
    <s v="SILVIO"/>
    <s v=""/>
    <s v=""/>
    <s v=""/>
    <x v="1"/>
    <x v="11"/>
    <s v="ELÉTRICO"/>
    <x v="0"/>
    <n v="60"/>
    <n v="0"/>
    <s v="MAQUINA M15 LENTA AO DESCER E SE DESLIGAR"/>
    <s v="P"/>
    <s v="EQUIPAMENTO TRABALHANDO COM CARGA EXCESSIVA "/>
    <s v="PRENSA MOLDAGEM 1"/>
    <s v=""/>
    <x v="14"/>
    <x v="0"/>
    <x v="0"/>
  </r>
  <r>
    <n v="13011"/>
    <d v="2022-11-23T00:00:00"/>
    <x v="11"/>
    <x v="11"/>
    <x v="0"/>
    <x v="0"/>
    <s v="VALDEMAR"/>
    <s v="JOSÉ"/>
    <s v=""/>
    <s v=""/>
    <x v="0"/>
    <x v="19"/>
    <s v="MECÂNICO"/>
    <x v="0"/>
    <n v="200"/>
    <n v="0"/>
    <s v="FORAM EXTRAIDOS 3  PARAFUSOS E ABERTO ROSCA EM 4 FARAFUSOS NOVAMENTE E LIBREDADO PARA PRODUÇÃO"/>
    <s v="M"/>
    <s v="NÃO CUMPRIMENTO DO PLANO PREVENTIVO"/>
    <s v="PRENSA MOLDAGEM 2"/>
    <s v=""/>
    <x v="14"/>
    <x v="0"/>
    <x v="0"/>
  </r>
  <r>
    <n v="13012"/>
    <d v="2022-11-23T00:00:00"/>
    <x v="1"/>
    <x v="0"/>
    <x v="0"/>
    <x v="0"/>
    <s v="DANILLO"/>
    <s v=""/>
    <s v=""/>
    <s v=""/>
    <x v="1"/>
    <x v="1"/>
    <s v="ELÉTRICO"/>
    <x v="0"/>
    <n v="70"/>
    <n v="0"/>
    <s v="AJUSTE NO SENSOR DA MESA 2"/>
    <s v="C"/>
    <s v="FALHA EM COMPONENTES ELETRONICO"/>
    <s v="ROBÔ ABB APLIC. COLA DO TETO"/>
    <s v=""/>
    <x v="14"/>
    <x v="0"/>
    <x v="0"/>
  </r>
  <r>
    <n v="13013"/>
    <d v="2022-11-23T00:00:00"/>
    <x v="1"/>
    <x v="0"/>
    <x v="0"/>
    <x v="0"/>
    <s v="DANILLO"/>
    <s v=""/>
    <s v=""/>
    <s v=""/>
    <x v="1"/>
    <x v="1"/>
    <s v="ELÉTRICO"/>
    <x v="0"/>
    <n v="60"/>
    <n v="0"/>
    <s v="TROCA DO RELÉ"/>
    <s v="C"/>
    <s v="FALHA EM COMPONENTES ELETRONICO"/>
    <s v="ROBÔ ABB APLIC. COLA DO TETO"/>
    <s v=""/>
    <x v="14"/>
    <x v="0"/>
    <x v="0"/>
  </r>
  <r>
    <n v="13015"/>
    <d v="2022-11-23T00:00:00"/>
    <x v="5"/>
    <x v="0"/>
    <x v="0"/>
    <x v="0"/>
    <s v="ANDERSON"/>
    <s v=""/>
    <s v=""/>
    <s v=""/>
    <x v="2"/>
    <x v="32"/>
    <s v="MECÂNICO"/>
    <x v="0"/>
    <n v="12"/>
    <n v="0"/>
    <s v="SUBSTITUIDO PARTE DA MANGUIERA E AS ABRAÇADEIRAS"/>
    <s v="P"/>
    <s v="EQUIPAMENTO TRABALHANDO COM CARGA EXCESSIVA "/>
    <s v="PRENSA ACOPL. TECIDO DO TETO 1"/>
    <s v=""/>
    <x v="14"/>
    <x v="0"/>
    <x v="0"/>
  </r>
  <r>
    <n v="13117"/>
    <d v="2022-11-23T00:00:00"/>
    <x v="9"/>
    <x v="0"/>
    <x v="0"/>
    <x v="0"/>
    <s v="ROBERT"/>
    <s v=""/>
    <s v=""/>
    <s v=""/>
    <x v="1"/>
    <x v="8"/>
    <s v="MECÂNICO"/>
    <x v="0"/>
    <n v="40"/>
    <n v="0"/>
    <s v="REPARO DA SERPENTINA"/>
    <s v="P"/>
    <s v="EQUIPAMENTO TRABALHANDO COM CARGA EXCESSIVA "/>
    <s v="CORTE DO TETO  - WATER JET 2"/>
    <s v=""/>
    <x v="14"/>
    <x v="0"/>
    <x v="0"/>
  </r>
  <r>
    <n v="13118"/>
    <d v="2022-11-23T00:00:00"/>
    <x v="8"/>
    <x v="0"/>
    <x v="0"/>
    <x v="0"/>
    <s v="CRISTIANO"/>
    <s v=""/>
    <s v=""/>
    <s v=""/>
    <x v="1"/>
    <x v="17"/>
    <s v="MECÂNICO"/>
    <x v="0"/>
    <n v="10"/>
    <n v="0"/>
    <s v="TROCA DA CONEXÃO"/>
    <s v="P"/>
    <s v="EQUIPAMENTO TRABALHANDO COM CARGA EXCESSIVA "/>
    <s v="VIROLA DO TETO 521"/>
    <s v=""/>
    <x v="14"/>
    <x v="0"/>
    <x v="0"/>
  </r>
  <r>
    <n v="13122"/>
    <d v="2022-11-23T00:00:00"/>
    <x v="5"/>
    <x v="0"/>
    <x v="0"/>
    <x v="0"/>
    <s v="ANDERSON"/>
    <s v=""/>
    <s v=""/>
    <s v=""/>
    <x v="2"/>
    <x v="8"/>
    <s v="MECÂNICO"/>
    <x v="0"/>
    <n v="30"/>
    <n v="0"/>
    <s v="REPARO DA SERPENTINA"/>
    <s v="P"/>
    <s v="EQUIPAMENTO TRABALHANDO COM CARGA EXCESSIVA "/>
    <s v="CORTE DO TETO  - WATER JET 2"/>
    <s v=""/>
    <x v="14"/>
    <x v="0"/>
    <x v="0"/>
  </r>
  <r>
    <n v="13162"/>
    <d v="2022-11-23T00:00:00"/>
    <x v="10"/>
    <x v="0"/>
    <x v="0"/>
    <x v="0"/>
    <s v="JOSÉ"/>
    <s v=""/>
    <s v=""/>
    <s v=""/>
    <x v="0"/>
    <x v="16"/>
    <s v="ELÉTRICO"/>
    <x v="0"/>
    <n v="3"/>
    <n v="0"/>
    <s v="RESET"/>
    <s v="C"/>
    <s v="FALHA EM COMPONENTES ELETRONICO"/>
    <s v="CORTE DO CARPETE- WATER JET"/>
    <s v=""/>
    <x v="14"/>
    <x v="0"/>
    <x v="0"/>
  </r>
  <r>
    <n v="13164"/>
    <d v="2022-11-23T00:00:00"/>
    <x v="4"/>
    <x v="3"/>
    <x v="4"/>
    <x v="0"/>
    <s v="JOSINALDO"/>
    <s v=""/>
    <s v="RAFAEL"/>
    <s v=""/>
    <x v="2"/>
    <x v="33"/>
    <s v="ELÉTRICO"/>
    <x v="0"/>
    <n v="25"/>
    <n v="0"/>
    <s v="AJUSTE NA MESA"/>
    <s v="C"/>
    <s v="FALHA EM COMPONENTES ELETRONICO"/>
    <s v="CORTE DO CARPETE- WATER JET"/>
    <s v=""/>
    <x v="14"/>
    <x v="0"/>
    <x v="0"/>
  </r>
  <r>
    <n v="13166"/>
    <d v="2022-11-23T00:00:00"/>
    <x v="3"/>
    <x v="0"/>
    <x v="0"/>
    <x v="0"/>
    <s v="RAFAEL"/>
    <s v=""/>
    <s v=""/>
    <s v=""/>
    <x v="2"/>
    <x v="40"/>
    <s v="ELÉTRICO"/>
    <x v="0"/>
    <n v="22"/>
    <n v="0"/>
    <s v="AJUSTUDADO CABO E SENSOR PT-100"/>
    <s v="C"/>
    <s v="FALHA EM COMPONENTES ELETRONICO"/>
    <s v=""/>
    <s v=""/>
    <x v="14"/>
    <x v="0"/>
    <x v="0"/>
  </r>
  <r>
    <n v="13963"/>
    <d v="2022-11-23T00:00:00"/>
    <x v="3"/>
    <x v="0"/>
    <x v="0"/>
    <x v="0"/>
    <s v="RAFAEL"/>
    <s v=""/>
    <s v=""/>
    <s v=""/>
    <x v="2"/>
    <x v="28"/>
    <s v="ELÉTRICO"/>
    <x v="0"/>
    <n v="15"/>
    <n v="0"/>
    <s v="SENSOR DE BLOQUEIO DA MAGAZINE NÃO ATUA"/>
    <s v="P"/>
    <s v="EQUIPAMENTO TRABALHANDO COM CARGA EXCESSIVA "/>
    <s v="PRENSA MOLDAGEM INNER DASH"/>
    <s v=""/>
    <x v="14"/>
    <x v="0"/>
    <x v="0"/>
  </r>
  <r>
    <n v="15023"/>
    <d v="2022-11-23T00:00:00"/>
    <x v="15"/>
    <x v="0"/>
    <x v="0"/>
    <x v="0"/>
    <s v="GENILSON"/>
    <s v=""/>
    <s v=""/>
    <s v=""/>
    <x v="1"/>
    <x v="16"/>
    <s v="MECÂNICO"/>
    <x v="0"/>
    <n v="20"/>
    <n v="0"/>
    <s v="TROCA DA SAFIRA"/>
    <s v="P"/>
    <s v="EQUIPAMENTO TRABALHANDO COM CARGA EXCESSIVA "/>
    <s v="CORTE DO CARPETE- WATER JET"/>
    <s v=""/>
    <x v="14"/>
    <x v="0"/>
    <x v="0"/>
  </r>
  <r>
    <n v="12120"/>
    <d v="2022-11-24T00:00:00"/>
    <x v="8"/>
    <x v="0"/>
    <x v="0"/>
    <x v="0"/>
    <s v="CRISTIANO"/>
    <s v=""/>
    <s v=""/>
    <s v=""/>
    <x v="1"/>
    <x v="8"/>
    <s v="MECÂNICO"/>
    <x v="0"/>
    <n v="17"/>
    <n v="0"/>
    <s v="TROCA DA CONEXÃO E AJUSTE NOS SENSORES"/>
    <s v="P"/>
    <s v="EQUIPAMENTO TRABALHANDO COM CARGA EXCESSIVA "/>
    <s v="CORTE DO TETO  - WATER JET 2"/>
    <s v=""/>
    <x v="15"/>
    <x v="0"/>
    <x v="0"/>
  </r>
  <r>
    <n v="12189"/>
    <d v="2022-11-24T00:00:00"/>
    <x v="3"/>
    <x v="1"/>
    <x v="0"/>
    <x v="0"/>
    <s v="RAFAEL"/>
    <s v="ANDERSON"/>
    <s v=""/>
    <s v=""/>
    <x v="2"/>
    <x v="12"/>
    <s v="MECÂNICO"/>
    <x v="0"/>
    <n v="30"/>
    <n v="0"/>
    <s v="TROCA DA MANGUEIRA E CONEXÃO"/>
    <s v="P"/>
    <s v="EQUIPAMENTO TRABALHANDO COM CARGA EXCESSIVA "/>
    <s v="TERMOFORMAGEM GLASUTEC"/>
    <s v=""/>
    <x v="15"/>
    <x v="0"/>
    <x v="0"/>
  </r>
  <r>
    <n v="12198"/>
    <d v="2022-11-24T00:00:00"/>
    <x v="3"/>
    <x v="1"/>
    <x v="0"/>
    <x v="0"/>
    <s v="RAFAEL"/>
    <s v="ANDERSON"/>
    <s v=""/>
    <s v=""/>
    <x v="2"/>
    <x v="12"/>
    <s v="MECÂNICO"/>
    <x v="0"/>
    <n v="50"/>
    <n v="0"/>
    <s v="LIMPEZA DA BOMBA DE RESINA"/>
    <s v="P"/>
    <s v="EQUIPAMENTO TRABALHANDO COM CARGA EXCESSIVA "/>
    <s v="TERMOFORMAGEM GLASUTEC"/>
    <s v=""/>
    <x v="15"/>
    <x v="0"/>
    <x v="0"/>
  </r>
  <r>
    <n v="12988"/>
    <d v="2022-11-24T00:00:00"/>
    <x v="3"/>
    <x v="0"/>
    <x v="0"/>
    <x v="0"/>
    <s v="RAFAEL"/>
    <s v=""/>
    <s v=""/>
    <s v=""/>
    <x v="2"/>
    <x v="8"/>
    <s v="MECÂNICO"/>
    <x v="0"/>
    <n v="19"/>
    <n v="0"/>
    <s v="TROCA DO REPARO"/>
    <s v="P"/>
    <s v="EQUIPAMENTO TRABALHANDO COM CARGA EXCESSIVA "/>
    <s v="CORTE DO TETO  - WATER JET 2"/>
    <s v=""/>
    <x v="15"/>
    <x v="0"/>
    <x v="0"/>
  </r>
  <r>
    <n v="13124"/>
    <d v="2022-11-24T00:00:00"/>
    <x v="2"/>
    <x v="0"/>
    <x v="0"/>
    <x v="0"/>
    <s v="FELIPE"/>
    <s v=""/>
    <s v=""/>
    <s v=""/>
    <x v="1"/>
    <x v="8"/>
    <s v="MECÂNICO"/>
    <x v="0"/>
    <n v="30"/>
    <n v="0"/>
    <s v="TROCA DA SAFIRA"/>
    <s v="P"/>
    <s v="EQUIPAMENTO TRABALHANDO COM CARGA EXCESSIVA "/>
    <s v="CORTE DO TETO  - WATER JET 2"/>
    <s v=""/>
    <x v="15"/>
    <x v="0"/>
    <x v="0"/>
  </r>
  <r>
    <n v="13168"/>
    <d v="2022-11-24T00:00:00"/>
    <x v="0"/>
    <x v="14"/>
    <x v="0"/>
    <x v="0"/>
    <s v="RONALDO"/>
    <s v="SILVIO"/>
    <s v=""/>
    <s v=""/>
    <x v="0"/>
    <x v="40"/>
    <s v="MECÂNICO"/>
    <x v="0"/>
    <n v="60"/>
    <n v="0"/>
    <s v="REAPERO E LIMPEZA NA MANGUEIRA"/>
    <s v="P"/>
    <s v="EQUIPAMENTO TRABALHANDO COM CARGA EXCESSIVA "/>
    <s v=""/>
    <s v=""/>
    <x v="15"/>
    <x v="0"/>
    <x v="0"/>
  </r>
  <r>
    <n v="13170"/>
    <d v="2022-11-24T00:00:00"/>
    <x v="13"/>
    <x v="0"/>
    <x v="0"/>
    <x v="0"/>
    <s v="RUIGUENS"/>
    <s v=""/>
    <s v=""/>
    <s v=""/>
    <x v="2"/>
    <x v="7"/>
    <s v="MECÂNICO"/>
    <x v="0"/>
    <n v="143"/>
    <n v="0"/>
    <s v="TROCA DO CILINDRO DO PRENSA FILME"/>
    <s v="P"/>
    <s v="EQUIPAMENTO TRABALHANDO COM CARGA EXCESSIVA "/>
    <s v="PRENSA DE MOLDAGEM CARPETE"/>
    <s v=""/>
    <x v="15"/>
    <x v="0"/>
    <x v="0"/>
  </r>
  <r>
    <n v="13171"/>
    <d v="2022-11-24T00:00:00"/>
    <x v="3"/>
    <x v="0"/>
    <x v="0"/>
    <x v="0"/>
    <s v="RAFAEL"/>
    <s v=""/>
    <s v=""/>
    <s v=""/>
    <x v="2"/>
    <x v="33"/>
    <s v="ELÉTRICO"/>
    <x v="0"/>
    <n v="10"/>
    <n v="0"/>
    <s v="AJUSTE DA MESA E NO SENSOR"/>
    <s v="C"/>
    <s v="FALHA EM COMPONENTES ELETRONICO"/>
    <s v="CORTE DO CARPETE- WATER JET"/>
    <s v=""/>
    <x v="15"/>
    <x v="0"/>
    <x v="0"/>
  </r>
  <r>
    <n v="13172"/>
    <d v="2022-11-24T00:00:00"/>
    <x v="3"/>
    <x v="0"/>
    <x v="0"/>
    <x v="0"/>
    <s v="RAFAEL"/>
    <s v=""/>
    <s v=""/>
    <s v=""/>
    <x v="2"/>
    <x v="41"/>
    <s v="MECÂNICO"/>
    <x v="0"/>
    <n v="12"/>
    <n v="0"/>
    <s v="FEITO SOLDA NO SUPORTE BAYPRESS"/>
    <s v="P"/>
    <s v="EQUIPAMENTO TRABALHANDO COM CARGA EXCESSIVA "/>
    <s v="VIROLA "/>
    <s v=""/>
    <x v="15"/>
    <x v="0"/>
    <x v="0"/>
  </r>
  <r>
    <n v="13964"/>
    <d v="2022-11-24T00:00:00"/>
    <x v="4"/>
    <x v="0"/>
    <x v="0"/>
    <x v="0"/>
    <s v="JOSINALDO"/>
    <s v=""/>
    <s v=""/>
    <s v=""/>
    <x v="2"/>
    <x v="6"/>
    <s v="ELÉTRICO"/>
    <x v="0"/>
    <n v="35"/>
    <n v="0"/>
    <s v="ALINHAMENTO DA BARREIRA DE LUZ"/>
    <s v="C"/>
    <s v="FALHA EM COMPONENTES ELETRONICO"/>
    <s v="PRENSA COM INJEÇÃO PU INNER 03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m/>
    <s v="P"/>
    <s v="EQUIPAMENTO TRABALHANDO COM CARGA EXCESSIVA "/>
    <s v="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s v="MANGUEIRA ROMPIDA"/>
    <s v="P"/>
    <s v="EQUIPAMENTO TRABALHANDO COM CARGA EXCESSIVA "/>
    <s v=""/>
    <s v=""/>
    <x v="15"/>
    <x v="0"/>
    <x v="0"/>
  </r>
  <r>
    <n v="12985"/>
    <d v="2022-11-25T00:00:00"/>
    <x v="3"/>
    <x v="1"/>
    <x v="7"/>
    <x v="0"/>
    <s v="RAFAEL"/>
    <s v="ANDERSON"/>
    <s v="RUIGUENS"/>
    <s v=""/>
    <x v="2"/>
    <x v="8"/>
    <s v="MECÂNICO"/>
    <x v="0"/>
    <n v="60"/>
    <n v="0"/>
    <s v="NÍVEL DE ÓLEO COMPLETADO E TROCA DO REPARO DA VÁLVULA"/>
    <s v="P"/>
    <s v="EQUIPAMENTO TRABALHANDO COM CARGA EXCESSIVA "/>
    <s v="CORTE DO TETO  - WATER JET 2"/>
    <s v=""/>
    <x v="16"/>
    <x v="0"/>
    <x v="0"/>
  </r>
  <r>
    <n v="12992"/>
    <d v="2022-11-25T00:00:00"/>
    <x v="0"/>
    <x v="14"/>
    <x v="0"/>
    <x v="0"/>
    <s v="RONALDO"/>
    <s v="SILVIO"/>
    <s v=""/>
    <s v=""/>
    <x v="0"/>
    <x v="12"/>
    <s v="ELÉTRICO"/>
    <x v="0"/>
    <n v="20"/>
    <n v="0"/>
    <s v="LIMPEZA E ACOMPLANHMNETO"/>
    <s v="P"/>
    <s v="EQUIPAMENTO TRABALHANDO COM CARGA EXCESSIVA "/>
    <s v="TERMOFORMAGEM GLASUTEC"/>
    <s v=""/>
    <x v="16"/>
    <x v="0"/>
    <x v="0"/>
  </r>
  <r>
    <n v="13016"/>
    <d v="2022-11-25T00:00:00"/>
    <x v="12"/>
    <x v="0"/>
    <x v="0"/>
    <x v="0"/>
    <s v="SILVIO"/>
    <s v=""/>
    <s v=""/>
    <s v=""/>
    <x v="1"/>
    <x v="1"/>
    <s v="ELÉTRICO"/>
    <x v="0"/>
    <n v="40"/>
    <n v="0"/>
    <s v="FIXADO E AJUSTADO SENSOR DA MESA"/>
    <s v="C"/>
    <s v="FALHA EM COMPONENTES ELETRONICO"/>
    <s v="ROBÔ ABB APLIC. COLA DO TETO"/>
    <s v=""/>
    <x v="16"/>
    <x v="0"/>
    <x v="0"/>
  </r>
  <r>
    <n v="13018"/>
    <d v="2022-11-25T00:00:00"/>
    <x v="0"/>
    <x v="14"/>
    <x v="0"/>
    <x v="0"/>
    <s v="RONALDO"/>
    <s v="SILVIO"/>
    <s v=""/>
    <s v=""/>
    <x v="0"/>
    <x v="1"/>
    <s v="ELÉTRICO"/>
    <x v="0"/>
    <n v="40"/>
    <n v="0"/>
    <s v="AJUSTE NO SENSOR"/>
    <s v="C"/>
    <s v="FALHA EM COMPONENTES ELETRONICO"/>
    <s v="ROBÔ ABB APLIC. COLA DO TETO"/>
    <s v=""/>
    <x v="16"/>
    <x v="0"/>
    <x v="0"/>
  </r>
  <r>
    <n v="13121"/>
    <d v="2022-11-25T00:00:00"/>
    <x v="2"/>
    <x v="0"/>
    <x v="0"/>
    <x v="0"/>
    <s v="FELIPE"/>
    <s v=""/>
    <s v=""/>
    <s v=""/>
    <x v="1"/>
    <x v="29"/>
    <s v="MECÂNICO"/>
    <x v="0"/>
    <n v="15"/>
    <n v="0"/>
    <s v="SUBSTITUIÇÃO DO ORING E DO MÓDULO"/>
    <s v="P"/>
    <s v="EQUIPAMENTO TRABALHANDO COM CARGA EXCESSIVA "/>
    <s v=""/>
    <s v=""/>
    <x v="16"/>
    <x v="0"/>
    <x v="0"/>
  </r>
  <r>
    <n v="13123"/>
    <d v="2022-11-25T00:00:00"/>
    <x v="8"/>
    <x v="0"/>
    <x v="0"/>
    <x v="0"/>
    <s v="CRISTIANO"/>
    <s v=""/>
    <s v=""/>
    <s v=""/>
    <x v="1"/>
    <x v="8"/>
    <s v="MECÂNICO"/>
    <x v="0"/>
    <n v="27"/>
    <n v="0"/>
    <s v="TROCA DO REPARO"/>
    <s v="P"/>
    <s v="EQUIPAMENTO TRABALHANDO COM CARGA EXCESSIVA "/>
    <s v="CORTE DO TETO  - WATER JET 2"/>
    <s v=""/>
    <x v="16"/>
    <x v="0"/>
    <x v="0"/>
  </r>
  <r>
    <n v="13175"/>
    <d v="2022-11-25T00:00:00"/>
    <x v="0"/>
    <x v="14"/>
    <x v="0"/>
    <x v="0"/>
    <s v="RONALDO"/>
    <s v="SILVIO"/>
    <s v=""/>
    <s v=""/>
    <x v="0"/>
    <x v="40"/>
    <s v="ELÉTRICO"/>
    <x v="0"/>
    <n v="30"/>
    <n v="0"/>
    <s v="FEITO LIMPEZA"/>
    <s v="P"/>
    <s v="EQUIPAMENTO TRABALHANDO COM CARGA EXCESSIVA "/>
    <s v=""/>
    <s v=""/>
    <x v="16"/>
    <x v="0"/>
    <x v="0"/>
  </r>
  <r>
    <n v="13176"/>
    <d v="2022-11-25T00:00:00"/>
    <x v="15"/>
    <x v="0"/>
    <x v="0"/>
    <x v="0"/>
    <s v="GENILSON"/>
    <s v=""/>
    <s v=""/>
    <s v=""/>
    <x v="1"/>
    <x v="33"/>
    <s v="ELÉTRICO"/>
    <x v="0"/>
    <n v="50"/>
    <n v="0"/>
    <s v=" AJUSTE NO CORTE DO CARPETE"/>
    <s v="C"/>
    <s v="FALHA EM COMPONENTES ELETRONICO"/>
    <s v="CORTE DO CARPETE- WATER JET"/>
    <s v=""/>
    <x v="16"/>
    <x v="0"/>
    <x v="0"/>
  </r>
  <r>
    <n v="13177"/>
    <d v="2022-11-25T00:00:00"/>
    <x v="6"/>
    <x v="0"/>
    <x v="0"/>
    <x v="0"/>
    <s v="ELIAS"/>
    <s v=""/>
    <s v=""/>
    <s v=""/>
    <x v="1"/>
    <x v="20"/>
    <s v="MECÂNICO"/>
    <x v="0"/>
    <n v="2"/>
    <n v="0"/>
    <s v="VERIFICAÇÃO DE DEFEITO NA HIDRÁILICA"/>
    <s v="P"/>
    <s v="EQUIPAMENTO TRABALHANDO COM CARGA EXCESSIVA "/>
    <s v="PRENSA COM INJEÇÃO PU 1"/>
    <s v=""/>
    <x v="16"/>
    <x v="0"/>
    <x v="0"/>
  </r>
  <r>
    <n v="13178"/>
    <d v="2022-11-25T00:00:00"/>
    <x v="9"/>
    <x v="0"/>
    <x v="0"/>
    <x v="0"/>
    <s v="ROBERT"/>
    <s v=""/>
    <s v=""/>
    <s v=""/>
    <x v="1"/>
    <x v="9"/>
    <s v="MECÂNICO"/>
    <x v="0"/>
    <n v="40"/>
    <n v="0"/>
    <s v="MANGUEIRA DE SUCÇÃO DA BOMBA ESTAVA OBSTRUÍDA. FOI REALIZADO A TROCA DA MESMA"/>
    <s v="P"/>
    <s v="EQUIPAMENTO TRABALHANDO COM CARGA EXCESSIVA "/>
    <s v=""/>
    <s v=""/>
    <x v="16"/>
    <x v="0"/>
    <x v="0"/>
  </r>
  <r>
    <n v="13179"/>
    <d v="2022-11-25T00:00:00"/>
    <x v="3"/>
    <x v="1"/>
    <x v="7"/>
    <x v="0"/>
    <s v="RAFAEL"/>
    <s v="ANDERSON"/>
    <s v="RUIGUENS"/>
    <s v=""/>
    <x v="2"/>
    <x v="43"/>
    <s v="MECÂNICO"/>
    <x v="0"/>
    <n v="30"/>
    <n v="0"/>
    <s v="TROCA DO ENGATE RÁPIDO"/>
    <s v="P"/>
    <s v="EQUIPAMENTO TRABALHANDO COM CARGA EXCESSIVA "/>
    <s v=""/>
    <s v=""/>
    <x v="16"/>
    <x v="0"/>
    <x v="0"/>
  </r>
  <r>
    <n v="13966"/>
    <d v="2022-11-25T00:00:00"/>
    <x v="6"/>
    <x v="0"/>
    <x v="0"/>
    <x v="0"/>
    <s v="ELIAS"/>
    <s v=""/>
    <s v=""/>
    <s v=""/>
    <x v="1"/>
    <x v="10"/>
    <s v="ELÉTRICO"/>
    <x v="0"/>
    <n v="100"/>
    <n v="0"/>
    <s v="SENSOR FORA DE POSIÇÃO E CILINDRO DANIFICADO"/>
    <s v="C"/>
    <s v="FALHA EM COMPONENTES ELETRONICO"/>
    <s v="INJETORA"/>
    <s v=""/>
    <x v="16"/>
    <x v="0"/>
    <x v="0"/>
  </r>
  <r>
    <n v="13967"/>
    <d v="2022-11-25T00:00:00"/>
    <x v="8"/>
    <x v="0"/>
    <x v="0"/>
    <x v="0"/>
    <s v="CRISTIANO"/>
    <s v=""/>
    <s v=""/>
    <s v=""/>
    <x v="1"/>
    <x v="6"/>
    <s v="MECÂNICO"/>
    <x v="0"/>
    <n v="35"/>
    <n v="0"/>
    <s v="RETIRADO O VAZAMENTO"/>
    <s v="P"/>
    <s v="EQUIPAMENTO TRABALHANDO COM CARGA EXCESSIVA "/>
    <s v="PRENSA COM INJEÇÃO PU INNER 03"/>
    <s v=""/>
    <x v="16"/>
    <x v="0"/>
    <x v="0"/>
  </r>
  <r>
    <n v="13969"/>
    <d v="2022-11-25T00:00:00"/>
    <x v="1"/>
    <x v="15"/>
    <x v="0"/>
    <x v="0"/>
    <s v="DANILLO"/>
    <s v="ROBERT"/>
    <s v=""/>
    <s v=""/>
    <x v="1"/>
    <x v="1"/>
    <s v="MECÂNICO"/>
    <x v="0"/>
    <n v="20"/>
    <n v="0"/>
    <s v="ALINHAMENTO DO MAGAZINE"/>
    <s v="P"/>
    <s v="EQUIPAMENTO TRABALHANDO COM CARGA EXCESSIVA "/>
    <s v="ROBÔ ABB APLIC. COLA DO TETO"/>
    <s v=""/>
    <x v="16"/>
    <x v="0"/>
    <x v="0"/>
  </r>
  <r>
    <n v="13970"/>
    <d v="2022-11-25T00:00:00"/>
    <x v="5"/>
    <x v="7"/>
    <x v="0"/>
    <x v="0"/>
    <s v="ANDERSON"/>
    <s v="RAFAEL"/>
    <s v=""/>
    <s v=""/>
    <x v="2"/>
    <x v="44"/>
    <s v="MECÂNICO"/>
    <x v="0"/>
    <n v="39"/>
    <n v="0"/>
    <s v="TROCA DA LÂMINA"/>
    <s v="P"/>
    <s v="EQUIPAMENTO TRABALHANDO COM CARGA EXCESSIVA "/>
    <s v="LAMINADORA"/>
    <s v=""/>
    <x v="16"/>
    <x v="0"/>
    <x v="0"/>
  </r>
  <r>
    <n v="13971"/>
    <d v="2022-11-25T00:00:00"/>
    <x v="5"/>
    <x v="0"/>
    <x v="0"/>
    <x v="0"/>
    <s v="ANDERSON"/>
    <s v=""/>
    <s v=""/>
    <s v=""/>
    <x v="2"/>
    <x v="10"/>
    <s v="MECÂNICO"/>
    <x v="0"/>
    <n v="8"/>
    <n v="0"/>
    <s v="RETIRADO PARTE DA NIFICA DA MANGUEIRA"/>
    <s v="P"/>
    <s v="EQUIPAMENTO TRABALHANDO COM CARGA EXCESSIVA "/>
    <s v="INJETORA"/>
    <s v=""/>
    <x v="16"/>
    <x v="0"/>
    <x v="0"/>
  </r>
  <r>
    <n v="13989"/>
    <d v="2022-11-25T00:00:00"/>
    <x v="11"/>
    <x v="10"/>
    <x v="0"/>
    <x v="0"/>
    <s v="VALDEMAR"/>
    <s v="EDUARDO"/>
    <s v=""/>
    <s v=""/>
    <x v="0"/>
    <x v="31"/>
    <s v="MECÂNICO"/>
    <x v="0"/>
    <n v="15"/>
    <n v="0"/>
    <s v="RETIRADO ENTRADA DE AR"/>
    <s v="P"/>
    <s v="EQUIPAMENTO TRABALHANDO COM CARGA EXCESSIVA "/>
    <s v="INJETORA CARPETE"/>
    <s v=""/>
    <x v="16"/>
    <x v="0"/>
    <x v="0"/>
  </r>
  <r>
    <n v="11798"/>
    <d v="2022-11-26T00:00:00"/>
    <x v="2"/>
    <x v="16"/>
    <x v="0"/>
    <x v="0"/>
    <s v="FELIPE"/>
    <s v="CRISTIANO"/>
    <s v=""/>
    <s v=""/>
    <x v="1"/>
    <x v="45"/>
    <s v="MECÂNICO"/>
    <x v="0"/>
    <n v="40"/>
    <n v="0"/>
    <s v="TROCA DO ANEL DE VEDAÇÃO DO AVANÇO DO CILINDRO"/>
    <s v="P"/>
    <s v="EQUIPAMENTO TRABALHANDO COM CARGA EXCESSIVA "/>
    <s v="PRENSA MOLDAGEM ALUMINIO"/>
    <s v=""/>
    <x v="17"/>
    <x v="0"/>
    <x v="0"/>
  </r>
  <r>
    <n v="12125"/>
    <d v="2022-11-26T00:00:00"/>
    <x v="8"/>
    <x v="0"/>
    <x v="0"/>
    <x v="0"/>
    <s v="CRISTIANO"/>
    <s v=""/>
    <s v=""/>
    <s v=""/>
    <x v="1"/>
    <x v="8"/>
    <s v="MECÂNICO"/>
    <x v="0"/>
    <n v="60"/>
    <n v="0"/>
    <s v="SUBSTITUIÇÃO DA SERPENTINA"/>
    <s v="P"/>
    <s v="EQUIPAMENTO TRABALHANDO COM CARGA EXCESSIVA "/>
    <s v="CORTE DO TETO  - WATER JET 2"/>
    <s v=""/>
    <x v="17"/>
    <x v="0"/>
    <x v="0"/>
  </r>
  <r>
    <n v="13019"/>
    <d v="2022-11-26T00:00:00"/>
    <x v="7"/>
    <x v="2"/>
    <x v="0"/>
    <x v="0"/>
    <s v=""/>
    <s v="JOSINALDO"/>
    <s v=""/>
    <s v=""/>
    <x v="2"/>
    <x v="0"/>
    <s v="ELÉTRICO"/>
    <x v="0"/>
    <n v="15"/>
    <n v="0"/>
    <s v="LIMPEZA DOS VENTILADORES DO INVERSOR DE FREQUÊNCIA"/>
    <s v="C"/>
    <s v="FALHA EM COMPONENTES ELETRONICO"/>
    <s v="FORNO DO TETO"/>
    <s v=""/>
    <x v="17"/>
    <x v="0"/>
    <x v="0"/>
  </r>
  <r>
    <n v="13126"/>
    <d v="2022-11-26T00:00:00"/>
    <x v="1"/>
    <x v="0"/>
    <x v="0"/>
    <x v="0"/>
    <s v="DANILLO"/>
    <s v=""/>
    <s v=""/>
    <s v=""/>
    <x v="1"/>
    <x v="46"/>
    <s v="ELÉTRICO"/>
    <x v="0"/>
    <n v="25"/>
    <n v="0"/>
    <s v="GATILHO DA PISTOLA TRAVADO"/>
    <s v="P"/>
    <s v="EQUIPAMENTO TRABALHANDO COM CARGA EXCESSIVA "/>
    <s v=""/>
    <s v=""/>
    <x v="17"/>
    <x v="0"/>
    <x v="0"/>
  </r>
  <r>
    <n v="13181"/>
    <d v="2022-11-26T00:00:00"/>
    <x v="10"/>
    <x v="0"/>
    <x v="0"/>
    <x v="0"/>
    <s v="JOSÉ"/>
    <s v=""/>
    <s v=""/>
    <s v=""/>
    <x v="0"/>
    <x v="31"/>
    <s v="ELÉTRICO"/>
    <x v="0"/>
    <n v="5"/>
    <n v="0"/>
    <s v="RESET DO RELÉ DE EMERGÊNCIA"/>
    <s v="C"/>
    <s v="FALHA EM COMPONENTES ELETRONICO"/>
    <s v="INJETORA CARPETE"/>
    <s v=""/>
    <x v="17"/>
    <x v="0"/>
    <x v="0"/>
  </r>
  <r>
    <n v="13972"/>
    <d v="2022-11-26T00:00:00"/>
    <x v="6"/>
    <x v="0"/>
    <x v="0"/>
    <x v="0"/>
    <s v="ELIAS"/>
    <s v=""/>
    <s v=""/>
    <s v=""/>
    <x v="1"/>
    <x v="44"/>
    <s v="MECÂNICO"/>
    <x v="0"/>
    <n v="80"/>
    <n v="0"/>
    <s v="RETIRADO GUIA SUPERIOR E REPARA EM DOIS EMPURRADORES"/>
    <s v="P"/>
    <s v="EQUIPAMENTO TRABALHANDO COM CARGA EXCESSIVA "/>
    <s v="LAMINADORA"/>
    <s v=""/>
    <x v="17"/>
    <x v="0"/>
    <x v="0"/>
  </r>
  <r>
    <n v="13973"/>
    <d v="2022-11-26T00:00:00"/>
    <x v="4"/>
    <x v="0"/>
    <x v="0"/>
    <x v="0"/>
    <s v="JOSINALDO"/>
    <s v=""/>
    <s v=""/>
    <s v=""/>
    <x v="2"/>
    <x v="6"/>
    <s v="ELÉTRICO"/>
    <x v="0"/>
    <n v="20"/>
    <n v="0"/>
    <s v="ALINHAMENTO DA BARREIRA DE LUZ"/>
    <s v="C"/>
    <s v="FALHA EM COMPONENTES ELETRONICO"/>
    <s v="PRENSA COM INJEÇÃO PU INNER 03"/>
    <s v=""/>
    <x v="17"/>
    <x v="0"/>
    <x v="0"/>
  </r>
  <r>
    <n v="13974"/>
    <d v="2022-11-26T00:00:00"/>
    <x v="7"/>
    <x v="2"/>
    <x v="0"/>
    <x v="0"/>
    <s v=""/>
    <s v="JOSINALDO"/>
    <s v=""/>
    <s v=""/>
    <x v="2"/>
    <x v="17"/>
    <s v="ELÉTRICO"/>
    <x v="0"/>
    <n v="12"/>
    <n v="0"/>
    <s v="TROCA DO SENSOR"/>
    <s v="C"/>
    <s v="FALHA EM COMPONENTES ELETRONICO"/>
    <s v="VIROLA DO TETO 521"/>
    <s v=""/>
    <x v="17"/>
    <x v="0"/>
    <x v="0"/>
  </r>
  <r>
    <n v="11494"/>
    <d v="2022-11-27T00:00:00"/>
    <x v="8"/>
    <x v="0"/>
    <x v="0"/>
    <x v="0"/>
    <s v="CRISTIANO"/>
    <s v=""/>
    <s v=""/>
    <s v=""/>
    <x v="1"/>
    <x v="6"/>
    <s v="MECÂNICO"/>
    <x v="0"/>
    <n v="25"/>
    <n v="0"/>
    <s v="RETIRADO O VAZAMENTO"/>
    <s v="P"/>
    <s v="EQUIPAMENTO TRABALHANDO COM CARGA EXCESSIVA "/>
    <s v="PRENSA COM INJEÇÃO PU INNER 03"/>
    <s v=""/>
    <x v="18"/>
    <x v="0"/>
    <x v="0"/>
  </r>
  <r>
    <n v="13020"/>
    <d v="2022-11-27T00:00:00"/>
    <x v="14"/>
    <x v="0"/>
    <x v="0"/>
    <x v="0"/>
    <s v="EDUARDO"/>
    <s v=""/>
    <s v=""/>
    <s v=""/>
    <x v="0"/>
    <x v="1"/>
    <s v="MECÂNICO"/>
    <x v="0"/>
    <n v="60"/>
    <n v="0"/>
    <s v="LIBERADO ROBÔ DE COLA"/>
    <s v="P"/>
    <s v="EQUIPAMENTO TRABALHANDO COM CARGA EXCESSIVA "/>
    <s v="ROBÔ ABB APLIC. COLA DO TETO"/>
    <s v=""/>
    <x v="18"/>
    <x v="0"/>
    <x v="0"/>
  </r>
  <r>
    <n v="13128"/>
    <d v="2022-11-27T00:00:00"/>
    <x v="2"/>
    <x v="0"/>
    <x v="0"/>
    <x v="0"/>
    <s v="FELIPE"/>
    <s v=""/>
    <s v=""/>
    <s v=""/>
    <x v="1"/>
    <x v="8"/>
    <s v="MECÂNICO"/>
    <x v="0"/>
    <n v="10"/>
    <n v="0"/>
    <s v="TROCA DAS DUAS SAFIRAS"/>
    <s v="P"/>
    <s v="EQUIPAMENTO TRABALHANDO COM CARGA EXCESSIVA "/>
    <s v="CORTE DO TETO  - WATER JET 2"/>
    <s v=""/>
    <x v="18"/>
    <x v="0"/>
    <x v="0"/>
  </r>
  <r>
    <n v="13975"/>
    <d v="2022-11-27T00:00:00"/>
    <x v="11"/>
    <x v="0"/>
    <x v="0"/>
    <x v="0"/>
    <s v="VALDEMAR"/>
    <s v=""/>
    <s v=""/>
    <s v=""/>
    <x v="0"/>
    <x v="28"/>
    <s v="MECÂNICO"/>
    <x v="0"/>
    <n v="25"/>
    <n v="0"/>
    <s v="AJUSTE DA GARRA"/>
    <s v="P"/>
    <s v="EQUIPAMENTO TRABALHANDO COM CARGA EXCESSIVA "/>
    <s v="PRENSA MOLDAGEM INNER DASH"/>
    <s v=""/>
    <x v="18"/>
    <x v="0"/>
    <x v="0"/>
  </r>
  <r>
    <n v="15006"/>
    <d v="2022-11-27T00:00:00"/>
    <x v="11"/>
    <x v="0"/>
    <x v="0"/>
    <x v="0"/>
    <s v="VALDEMAR"/>
    <s v=""/>
    <s v=""/>
    <s v=""/>
    <x v="0"/>
    <x v="16"/>
    <s v="ELÉTRICO"/>
    <x v="0"/>
    <n v="25"/>
    <n v="0"/>
    <s v="COLOCADO ROBÔ 2 EM HOME E RESETADO O ROBÔ"/>
    <s v="P"/>
    <s v="EQUIPAMENTO TRABALHANDO COM CARGA EXCESSIVA "/>
    <s v="CORTE DO CARPETE- WATER JET"/>
    <s v=""/>
    <x v="18"/>
    <x v="0"/>
    <x v="0"/>
  </r>
  <r>
    <n v="15021"/>
    <d v="2022-11-27T00:00:00"/>
    <x v="11"/>
    <x v="0"/>
    <x v="0"/>
    <x v="0"/>
    <s v="VALDEMAR"/>
    <s v=""/>
    <s v=""/>
    <s v=""/>
    <x v="0"/>
    <x v="16"/>
    <s v="MECÂNICO"/>
    <x v="0"/>
    <n v="15"/>
    <n v="0"/>
    <s v="COLOCADO ROBÔ 2 EM HOME"/>
    <s v="P"/>
    <s v="EQUIPAMENTO TRABALHANDO COM CARGA EXCESSIVA "/>
    <s v="CORTE DO CARPETE- WATER JET"/>
    <s v=""/>
    <x v="18"/>
    <x v="0"/>
    <x v="0"/>
  </r>
  <r>
    <n v="15022"/>
    <d v="2022-11-27T00:00:00"/>
    <x v="10"/>
    <x v="0"/>
    <x v="0"/>
    <x v="0"/>
    <s v="JOSÉ"/>
    <s v=""/>
    <s v=""/>
    <s v=""/>
    <x v="0"/>
    <x v="31"/>
    <s v="ELÉTRICO"/>
    <x v="0"/>
    <n v="25"/>
    <n v="0"/>
    <s v="RESET"/>
    <s v="C"/>
    <s v="FALHA EM COMPONENTES ELETRONICO"/>
    <s v="INJETORA CARPETE"/>
    <s v=""/>
    <x v="18"/>
    <x v="0"/>
    <x v="0"/>
  </r>
  <r>
    <n v="11497"/>
    <d v="2022-11-28T00:00:00"/>
    <x v="1"/>
    <x v="12"/>
    <x v="8"/>
    <x v="0"/>
    <s v="DANILLO"/>
    <s v="FELIPE"/>
    <s v="ROBERT"/>
    <s v=""/>
    <x v="1"/>
    <x v="12"/>
    <s v="ELÉTRICO"/>
    <x v="0"/>
    <n v="60"/>
    <n v="0"/>
    <s v="REALIZAR INSTALAÇÃO DOS COPOS DO FILTRO INFRA PARA PULVERIZADORES PARTE ELETRICA"/>
    <s v="P"/>
    <s v="EQUIPAMENTO TRABALHANDO COM CARGA EXCESSIVA "/>
    <s v="TERMOFORMAGEM GLASUTEC"/>
    <s v=""/>
    <x v="19"/>
    <x v="0"/>
    <x v="0"/>
  </r>
  <r>
    <n v="12194"/>
    <d v="2022-11-28T00:00:00"/>
    <x v="4"/>
    <x v="3"/>
    <x v="0"/>
    <x v="0"/>
    <s v="JOSINALDO"/>
    <s v=""/>
    <s v=""/>
    <s v=""/>
    <x v="2"/>
    <x v="12"/>
    <s v="ELÉTRICO"/>
    <x v="0"/>
    <n v="2"/>
    <n v="0"/>
    <s v="RESET DO INVERSOR DE FREQUÊNCIA"/>
    <s v="C"/>
    <s v="FALHA EM COMPONENTES ELETRONICO"/>
    <s v="TERMOFORMAGEM GLASUTEC"/>
    <s v=""/>
    <x v="19"/>
    <x v="0"/>
    <x v="0"/>
  </r>
  <r>
    <n v="12683"/>
    <d v="2022-11-28T00:00:00"/>
    <x v="9"/>
    <x v="0"/>
    <x v="0"/>
    <x v="0"/>
    <s v="ROBERT"/>
    <s v=""/>
    <s v=""/>
    <s v=""/>
    <x v="1"/>
    <x v="32"/>
    <s v="MECÂNICO"/>
    <x v="0"/>
    <n v="20"/>
    <n v="0"/>
    <s v="FOI CORTADA A MANGUEIRA E RECOLOCADA"/>
    <s v="P"/>
    <s v="EQUIPAMENTO TRABALHANDO COM CARGA EXCESSIVA "/>
    <s v="PRENSA ACOPL. TECIDO DO TETO 1"/>
    <s v=""/>
    <x v="19"/>
    <x v="0"/>
    <x v="0"/>
  </r>
  <r>
    <n v="13021"/>
    <d v="2022-11-28T00:00:00"/>
    <x v="3"/>
    <x v="0"/>
    <x v="0"/>
    <x v="0"/>
    <s v="RAFAEL"/>
    <s v=""/>
    <s v=""/>
    <s v=""/>
    <x v="2"/>
    <x v="1"/>
    <s v="MECÂNICO"/>
    <x v="0"/>
    <n v="24"/>
    <n v="0"/>
    <s v="LIMPEZA NA VÁLVULA B2 E MIX"/>
    <s v="P"/>
    <s v="EQUIPAMENTO TRABALHANDO COM CARGA EXCESSIVA "/>
    <s v="ROBÔ ABB APLIC. COLA DO TETO"/>
    <s v=""/>
    <x v="19"/>
    <x v="0"/>
    <x v="0"/>
  </r>
  <r>
    <n v="13022"/>
    <d v="2022-11-28T00:00:00"/>
    <x v="5"/>
    <x v="7"/>
    <x v="0"/>
    <x v="0"/>
    <s v="ANDERSON"/>
    <s v="RAFAEL"/>
    <s v=""/>
    <s v=""/>
    <x v="2"/>
    <x v="32"/>
    <s v="MECÂNICO"/>
    <x v="0"/>
    <n v="5"/>
    <n v="0"/>
    <s v="RETIRADA PARTE DANIFICADA DA MANGUEIRA"/>
    <s v="P"/>
    <s v="EQUIPAMENTO TRABALHANDO COM CARGA EXCESSIVA "/>
    <s v="PRENSA ACOPL. TECIDO DO TETO 1"/>
    <s v=""/>
    <x v="19"/>
    <x v="0"/>
    <x v="0"/>
  </r>
  <r>
    <n v="13055"/>
    <d v="2022-11-28T00:00:00"/>
    <x v="10"/>
    <x v="0"/>
    <x v="0"/>
    <x v="0"/>
    <s v="JOSÉ"/>
    <s v=""/>
    <s v=""/>
    <s v=""/>
    <x v="0"/>
    <x v="47"/>
    <s v="ELÉTRICO"/>
    <x v="0"/>
    <n v="15"/>
    <n v="0"/>
    <s v="RESET DO AQUECEDOR"/>
    <s v="C"/>
    <s v="FALHA EM COMPONENTES ELETRONICO"/>
    <s v=""/>
    <s v=""/>
    <x v="19"/>
    <x v="0"/>
    <x v="0"/>
  </r>
  <r>
    <n v="13127"/>
    <d v="2022-11-28T00:00:00"/>
    <x v="5"/>
    <x v="0"/>
    <x v="0"/>
    <x v="0"/>
    <s v="ANDERSON"/>
    <s v=""/>
    <s v=""/>
    <s v=""/>
    <x v="2"/>
    <x v="28"/>
    <s v="MECÂNICO"/>
    <x v="0"/>
    <n v="35"/>
    <n v="0"/>
    <s v="NÍVEL DE ÓLEO COMPLETADO"/>
    <s v="P"/>
    <s v="EQUIPAMENTO TRABALHANDO COM CARGA EXCESSIVA "/>
    <s v="PRENSA MOLDAGEM INNER DASH"/>
    <s v=""/>
    <x v="19"/>
    <x v="0"/>
    <x v="0"/>
  </r>
  <r>
    <n v="13129"/>
    <d v="2022-11-28T00:00:00"/>
    <x v="8"/>
    <x v="0"/>
    <x v="0"/>
    <x v="0"/>
    <s v="CRISTIANO"/>
    <s v=""/>
    <s v=""/>
    <s v=""/>
    <x v="1"/>
    <x v="48"/>
    <s v="MECÂNICO"/>
    <x v="0"/>
    <n v="13"/>
    <n v="0"/>
    <s v="DESOBSTRUÇÃO DA PISTOLA DE COLA"/>
    <s v="P"/>
    <s v="EQUIPAMENTO TRABALHANDO COM CARGA EXCESSIVA "/>
    <s v=""/>
    <s v=""/>
    <x v="19"/>
    <x v="0"/>
    <x v="0"/>
  </r>
  <r>
    <n v="13130"/>
    <d v="2022-11-28T00:00:00"/>
    <x v="1"/>
    <x v="0"/>
    <x v="0"/>
    <x v="0"/>
    <s v="DANILLO"/>
    <s v=""/>
    <s v=""/>
    <s v=""/>
    <x v="1"/>
    <x v="0"/>
    <s v="MECÂNICO"/>
    <x v="0"/>
    <n v="30"/>
    <n v="0"/>
    <s v="FEITO LIMPEZA NAS COOLERS DOS INVERSORES"/>
    <s v="P"/>
    <s v="EQUIPAMENTO TRABALHANDO COM CARGA EXCESSIVA "/>
    <s v="FORNO DO TETO"/>
    <s v=""/>
    <x v="19"/>
    <x v="0"/>
    <x v="0"/>
  </r>
  <r>
    <n v="13132"/>
    <d v="2022-11-28T00:00:00"/>
    <x v="3"/>
    <x v="0"/>
    <x v="0"/>
    <x v="0"/>
    <s v="RAFAEL"/>
    <s v=""/>
    <s v=""/>
    <s v=""/>
    <x v="2"/>
    <x v="36"/>
    <s v="MECÂNICO"/>
    <x v="0"/>
    <n v="10"/>
    <n v="0"/>
    <s v="LIMPEZA DO BLOCO"/>
    <s v="P"/>
    <s v="EQUIPAMENTO TRABALHANDO COM CARGA EXCESSIVA "/>
    <s v=""/>
    <s v=""/>
    <x v="19"/>
    <x v="0"/>
    <x v="0"/>
  </r>
  <r>
    <n v="13182"/>
    <d v="2022-11-28T00:00:00"/>
    <x v="10"/>
    <x v="0"/>
    <x v="0"/>
    <x v="0"/>
    <s v="JOSÉ"/>
    <s v=""/>
    <s v=""/>
    <s v=""/>
    <x v="0"/>
    <x v="14"/>
    <s v="ELÉTRICO"/>
    <x v="0"/>
    <n v="4"/>
    <n v="0"/>
    <s v="REFERENCIAMENTO DAS MESAS"/>
    <s v="C"/>
    <s v="FALHA EM COMPONENTES ELETRONICO"/>
    <s v="PRENSA SOLDA BATE PÉ"/>
    <s v=""/>
    <x v="19"/>
    <x v="0"/>
    <x v="0"/>
  </r>
  <r>
    <n v="13183"/>
    <d v="2022-11-28T00:00:00"/>
    <x v="8"/>
    <x v="8"/>
    <x v="0"/>
    <x v="0"/>
    <s v="CRISTIANO"/>
    <s v="DANILLO"/>
    <s v=""/>
    <s v=""/>
    <x v="1"/>
    <x v="33"/>
    <s v="MECÂNICO"/>
    <x v="0"/>
    <n v="25"/>
    <n v="0"/>
    <s v="REAPERTO DA CONEXÃO DO BLOCO DA TUBULAÇÃO"/>
    <s v="P"/>
    <s v="EQUIPAMENTO TRABALHANDO COM CARGA EXCESSIVA "/>
    <s v="CORTE DO CARPETE- WATER JET"/>
    <s v=""/>
    <x v="19"/>
    <x v="0"/>
    <x v="0"/>
  </r>
  <r>
    <n v="13976"/>
    <d v="2022-11-28T00:00:00"/>
    <x v="6"/>
    <x v="16"/>
    <x v="0"/>
    <x v="0"/>
    <s v="ELIAS"/>
    <s v="CRISTIANO"/>
    <s v=""/>
    <s v=""/>
    <x v="1"/>
    <x v="10"/>
    <s v="MECÂNICO"/>
    <x v="0"/>
    <n v="37"/>
    <n v="0"/>
    <s v="DEMORA NO FECHAMENTO DO FENDER"/>
    <s v="P"/>
    <s v="EQUIPAMENTO TRABALHANDO COM CARGA EXCESSIVA "/>
    <s v="INJETORA"/>
    <s v=""/>
    <x v="19"/>
    <x v="0"/>
    <x v="0"/>
  </r>
  <r>
    <n v="15020"/>
    <d v="2022-11-28T00:00:00"/>
    <x v="8"/>
    <x v="8"/>
    <x v="0"/>
    <x v="0"/>
    <s v="CRISTIANO"/>
    <s v="DANILLO"/>
    <s v=""/>
    <s v=""/>
    <x v="1"/>
    <x v="16"/>
    <s v="MECÂNICO"/>
    <x v="0"/>
    <n v="30"/>
    <n v="0"/>
    <s v="TROCA DO REPARO DO ROBÔ E FIXADO A SERPENTINA"/>
    <s v="P"/>
    <s v="EQUIPAMENTO TRABALHANDO COM CARGA EXCESSIVA "/>
    <s v="CORTE DO CARPETE- WATER JET"/>
    <s v=""/>
    <x v="19"/>
    <x v="0"/>
    <x v="0"/>
  </r>
  <r>
    <n v="12664"/>
    <d v="2022-11-29T00:00:00"/>
    <x v="0"/>
    <x v="0"/>
    <x v="0"/>
    <x v="0"/>
    <s v="RONALDO"/>
    <s v=""/>
    <s v=""/>
    <s v=""/>
    <x v="0"/>
    <x v="21"/>
    <s v="ELÉTRICO"/>
    <x v="0"/>
    <n v="8"/>
    <n v="0"/>
    <s v="ALINHAMENTO DA BARREIRA DE LUZ"/>
    <s v="C"/>
    <s v="FALHA EM COMPONENTES ELETRONICO"/>
    <s v="PRENSA ACOPL. TECIDO DO TETO 2"/>
    <s v=""/>
    <x v="20"/>
    <x v="0"/>
    <x v="0"/>
  </r>
  <r>
    <n v="12700"/>
    <d v="2022-11-29T00:00:00"/>
    <x v="8"/>
    <x v="0"/>
    <x v="0"/>
    <x v="0"/>
    <s v="CRISTIANO"/>
    <s v=""/>
    <s v=""/>
    <s v=""/>
    <x v="1"/>
    <x v="32"/>
    <s v="MECÂNICO"/>
    <x v="0"/>
    <n v="25"/>
    <n v="0"/>
    <s v="TROCA DA MANGUEIRA"/>
    <s v="P"/>
    <s v="EQUIPAMENTO TRABALHANDO COM CARGA EXCESSIVA "/>
    <s v="PRENSA ACOPL. TECIDO DO TETO 1"/>
    <s v=""/>
    <x v="20"/>
    <x v="0"/>
    <x v="0"/>
  </r>
  <r>
    <n v="12921"/>
    <d v="2022-11-29T00:00:00"/>
    <x v="12"/>
    <x v="0"/>
    <x v="0"/>
    <x v="0"/>
    <s v="SILVIO"/>
    <s v=""/>
    <s v=""/>
    <s v=""/>
    <x v="1"/>
    <x v="47"/>
    <s v="MECÂNICO"/>
    <x v="0"/>
    <n v="90"/>
    <n v="0"/>
    <s v="TROCA DOS ROLAMENTOS"/>
    <s v="P"/>
    <s v="EQUIPAMENTO TRABALHANDO COM CARGA EXCESSIVA "/>
    <s v=""/>
    <s v=""/>
    <x v="20"/>
    <x v="0"/>
    <x v="0"/>
  </r>
  <r>
    <n v="13112"/>
    <d v="2022-11-29T00:00:00"/>
    <x v="13"/>
    <x v="3"/>
    <x v="3"/>
    <x v="0"/>
    <s v="RUIGUENS"/>
    <s v=""/>
    <s v="RONALDO"/>
    <s v=""/>
    <x v="2"/>
    <x v="17"/>
    <s v="ELÉTRICO"/>
    <x v="0"/>
    <n v="5"/>
    <n v="0"/>
    <s v="RESET"/>
    <s v="C"/>
    <s v="FALHA EM COMPONENTES ELETRONICO"/>
    <s v="VIROLA DO TETO 521"/>
    <s v=""/>
    <x v="20"/>
    <x v="0"/>
    <x v="0"/>
  </r>
  <r>
    <n v="13133"/>
    <d v="2022-11-29T00:00:00"/>
    <x v="8"/>
    <x v="0"/>
    <x v="0"/>
    <x v="0"/>
    <s v="CRISTIANO"/>
    <s v=""/>
    <s v=""/>
    <s v=""/>
    <x v="1"/>
    <x v="17"/>
    <s v="MECÂNICO"/>
    <x v="0"/>
    <n v="23"/>
    <n v="0"/>
    <s v="RETIRADO O VAZAMENTO"/>
    <s v="P"/>
    <s v="EQUIPAMENTO TRABALHANDO COM CARGA EXCESSIVA "/>
    <s v="VIROLA DO TETO 521"/>
    <s v=""/>
    <x v="20"/>
    <x v="0"/>
    <x v="0"/>
  </r>
  <r>
    <n v="13134"/>
    <d v="2022-11-29T00:00:00"/>
    <x v="9"/>
    <x v="0"/>
    <x v="0"/>
    <x v="0"/>
    <s v="ROBERT"/>
    <s v=""/>
    <s v=""/>
    <s v=""/>
    <x v="1"/>
    <x v="36"/>
    <s v="MECÂNICO"/>
    <x v="0"/>
    <n v="12"/>
    <n v="0"/>
    <s v="TROCA DA CONEXÃO"/>
    <s v="P"/>
    <s v="EQUIPAMENTO TRABALHANDO COM CARGA EXCESSIVA "/>
    <s v=""/>
    <s v=""/>
    <x v="20"/>
    <x v="0"/>
    <x v="0"/>
  </r>
  <r>
    <n v="13184"/>
    <d v="2022-11-29T00:00:00"/>
    <x v="15"/>
    <x v="0"/>
    <x v="0"/>
    <x v="0"/>
    <s v="GENILSON"/>
    <s v=""/>
    <s v=""/>
    <s v=""/>
    <x v="1"/>
    <x v="40"/>
    <s v="ELÉTRICO"/>
    <x v="0"/>
    <n v="40"/>
    <n v="0"/>
    <s v="SUBSTITUIÇÃO DA CHAVE SECSIONADORA"/>
    <s v="O"/>
    <s v="NÃO OBSERVAÇÃO DOS PARÂMETROS DE FUNCIONAMENTO DO EQUIPAMENTO"/>
    <s v=""/>
    <s v=""/>
    <x v="20"/>
    <x v="0"/>
    <x v="0"/>
  </r>
  <r>
    <n v="13980"/>
    <d v="2022-11-29T00:00:00"/>
    <x v="8"/>
    <x v="15"/>
    <x v="0"/>
    <x v="0"/>
    <s v="CRISTIANO"/>
    <s v="ROBERT"/>
    <s v=""/>
    <s v=""/>
    <x v="1"/>
    <x v="28"/>
    <s v="MECÂNICO"/>
    <x v="0"/>
    <n v="170"/>
    <n v="0"/>
    <s v="TROCA DO PARAFUSO"/>
    <s v="P"/>
    <s v="EQUIPAMENTO TRABALHANDO COM CARGA EXCESSIVA "/>
    <s v="PRENSA MOLDAGEM INNER DASH"/>
    <s v=""/>
    <x v="20"/>
    <x v="0"/>
    <x v="0"/>
  </r>
  <r>
    <n v="13981"/>
    <d v="2022-11-29T00:00:00"/>
    <x v="11"/>
    <x v="10"/>
    <x v="0"/>
    <x v="0"/>
    <s v="VALDEMAR"/>
    <s v="EDUARDO"/>
    <s v=""/>
    <s v=""/>
    <x v="0"/>
    <x v="3"/>
    <s v="MECÂNICO"/>
    <x v="0"/>
    <n v="2"/>
    <n v="0"/>
    <s v="AJUSTE DO SENSOR"/>
    <s v="P"/>
    <s v="EQUIPAMENTO TRABALHANDO COM CARGA EXCESSIVA "/>
    <s v="PRENSA CORTE INNER DASH"/>
    <s v=""/>
    <x v="20"/>
    <x v="0"/>
    <x v="0"/>
  </r>
  <r>
    <n v="13982"/>
    <d v="2022-11-29T00:00:00"/>
    <x v="1"/>
    <x v="14"/>
    <x v="3"/>
    <x v="0"/>
    <s v="DANILLO"/>
    <s v="SILVIO"/>
    <s v="RONALDO"/>
    <s v=""/>
    <x v="1"/>
    <x v="10"/>
    <s v="MECÂNICO"/>
    <x v="0"/>
    <n v="30"/>
    <n v="0"/>
    <s v="TROCA DO ENGATE RÁPIDO"/>
    <s v="P"/>
    <s v="EQUIPAMENTO TRABALHANDO COM CARGA EXCESSIVA "/>
    <s v="INJETORA"/>
    <s v=""/>
    <x v="20"/>
    <x v="0"/>
    <x v="0"/>
  </r>
  <r>
    <n v="13984"/>
    <d v="2022-11-29T00:00:00"/>
    <x v="0"/>
    <x v="0"/>
    <x v="0"/>
    <x v="0"/>
    <s v="RONALDO"/>
    <s v=""/>
    <s v=""/>
    <s v=""/>
    <x v="0"/>
    <x v="34"/>
    <s v="MECÂNICO"/>
    <x v="0"/>
    <n v="187"/>
    <n v="0"/>
    <s v="TROCA DO MOTOR BOMBA; TROCA DAS CONEXÕES E TESTES"/>
    <s v="P"/>
    <s v="EQUIPAMENTO TRABALHANDO COM CARGA EXCESSIVA "/>
    <s v="INJETORA CANON"/>
    <s v=""/>
    <x v="20"/>
    <x v="0"/>
    <x v="0"/>
  </r>
  <r>
    <n v="13985"/>
    <d v="2022-11-29T00:00:00"/>
    <x v="8"/>
    <x v="0"/>
    <x v="0"/>
    <x v="0"/>
    <s v="CRISTIANO"/>
    <s v=""/>
    <s v=""/>
    <s v=""/>
    <x v="1"/>
    <x v="6"/>
    <s v="MECÂNICO"/>
    <x v="0"/>
    <n v="15"/>
    <n v="0"/>
    <s v="TROCA DA ANILHA"/>
    <s v="P"/>
    <s v="EQUIPAMENTO TRABALHANDO COM CARGA EXCESSIVA "/>
    <s v="PRENSA COM INJEÇÃO PU INNER 03"/>
    <s v=""/>
    <x v="20"/>
    <x v="0"/>
    <x v="0"/>
  </r>
  <r>
    <n v="15018"/>
    <d v="2022-11-29T00:00:00"/>
    <x v="3"/>
    <x v="1"/>
    <x v="0"/>
    <x v="0"/>
    <s v="RAFAEL"/>
    <s v="ANDERSON"/>
    <s v=""/>
    <s v=""/>
    <x v="2"/>
    <x v="49"/>
    <s v="MECÂNICO"/>
    <x v="0"/>
    <n v="140"/>
    <n v="0"/>
    <s v="APERTO DA PORCA DO BLOCO"/>
    <s v="P"/>
    <s v="EQUIPAMENTO TRABALHANDO COM CARGA EXCESSIVA "/>
    <s v=""/>
    <s v=""/>
    <x v="20"/>
    <x v="0"/>
    <x v="0"/>
  </r>
  <r>
    <n v="15019"/>
    <d v="2022-11-29T00:00:00"/>
    <x v="15"/>
    <x v="0"/>
    <x v="0"/>
    <x v="0"/>
    <s v="GENILSON"/>
    <s v=""/>
    <s v=""/>
    <s v=""/>
    <x v="1"/>
    <x v="31"/>
    <s v="ELÉTRICO"/>
    <x v="0"/>
    <n v="20"/>
    <n v="0"/>
    <s v="RESET NA FALHA DO INVERSOR"/>
    <s v="C"/>
    <s v="FALHA EM COMPONENTES ELETRONICO"/>
    <s v="INJETORA CARPETE"/>
    <s v=""/>
    <x v="20"/>
    <x v="0"/>
    <x v="0"/>
  </r>
  <r>
    <n v="12199"/>
    <d v="2022-11-30T00:00:00"/>
    <x v="16"/>
    <x v="2"/>
    <x v="0"/>
    <x v="0"/>
    <s v=""/>
    <s v="JOSINALDO"/>
    <s v=""/>
    <s v=""/>
    <x v="2"/>
    <x v="11"/>
    <s v="MECÂNICO"/>
    <x v="0"/>
    <n v="55"/>
    <n v="0"/>
    <s v="MANGUEIRA DE AR DA BOMBA DE DESMOLDANTE FURADA SEM PRESSÃO BOMBA"/>
    <s v="P"/>
    <s v="EQUIPAMENTO TRABALHANDO COM CARGA EXCESSIVA "/>
    <s v="PRENSA MOLDAGEM 1"/>
    <s v=""/>
    <x v="21"/>
    <x v="0"/>
    <x v="0"/>
  </r>
  <r>
    <n v="12665"/>
    <d v="2022-11-30T00:00:00"/>
    <x v="11"/>
    <x v="0"/>
    <x v="0"/>
    <x v="0"/>
    <s v="VALDEMAR"/>
    <s v=""/>
    <s v=""/>
    <s v=""/>
    <x v="0"/>
    <x v="1"/>
    <s v="MECÂNICO"/>
    <x v="0"/>
    <n v="7"/>
    <n v="0"/>
    <s v="TROCA DA CONEXÃO PNEUMÁTICA"/>
    <s v="P"/>
    <s v="EQUIPAMENTO TRABALHANDO COM CARGA EXCESSIVA "/>
    <s v="ROBÔ ABB APLIC. COLA DO TETO"/>
    <s v=""/>
    <x v="21"/>
    <x v="0"/>
    <x v="0"/>
  </r>
  <r>
    <n v="12923"/>
    <d v="2022-11-30T00:00:00"/>
    <x v="12"/>
    <x v="0"/>
    <x v="0"/>
    <x v="0"/>
    <s v="SILVIO"/>
    <s v=""/>
    <s v=""/>
    <s v=""/>
    <x v="1"/>
    <x v="50"/>
    <s v="ELÉTRICO"/>
    <x v="0"/>
    <n v="40"/>
    <n v="0"/>
    <s v="VERIFICAR AVANÇO DA ENFARDADEIRA"/>
    <s v="C"/>
    <s v="FALHA EM COMPONENTES ELETRONICO"/>
    <s v=""/>
    <s v=""/>
    <x v="21"/>
    <x v="0"/>
    <x v="0"/>
  </r>
  <r>
    <n v="12924"/>
    <d v="2022-11-30T00:00:00"/>
    <x v="5"/>
    <x v="4"/>
    <x v="0"/>
    <x v="0"/>
    <s v="ANDERSON"/>
    <s v="RUIGUENS"/>
    <s v=""/>
    <s v=""/>
    <x v="2"/>
    <x v="51"/>
    <s v="MECÂNICO"/>
    <x v="0"/>
    <n v="60"/>
    <n v="0"/>
    <s v="MANTAGEM DO CABEÇOTE M10"/>
    <s v="P"/>
    <s v="EQUIPAMENTO TRABALHANDO COM CARGA EXCESSIVA "/>
    <s v="PRENSA COM INJEÇÃO PU INNER 01"/>
    <s v=""/>
    <x v="21"/>
    <x v="0"/>
    <x v="0"/>
  </r>
  <r>
    <n v="13136"/>
    <d v="2022-11-30T00:00:00"/>
    <x v="8"/>
    <x v="0"/>
    <x v="0"/>
    <x v="0"/>
    <s v="CRISTIANO"/>
    <s v=""/>
    <s v=""/>
    <s v=""/>
    <x v="1"/>
    <x v="52"/>
    <s v="MECÂNICO"/>
    <x v="0"/>
    <n v="7"/>
    <n v="0"/>
    <s v="PARAFUSADEIRA DA MONTAGEM 226 NÃO ESTA PARAFUSANDO"/>
    <s v="P"/>
    <s v="EQUIPAMENTO TRABALHANDO COM CARGA EXCESSIVA "/>
    <s v=""/>
    <s v=""/>
    <x v="21"/>
    <x v="0"/>
    <x v="0"/>
  </r>
  <r>
    <n v="13137"/>
    <d v="2022-11-30T00:00:00"/>
    <x v="8"/>
    <x v="0"/>
    <x v="0"/>
    <x v="0"/>
    <s v="CRISTIANO"/>
    <s v=""/>
    <s v=""/>
    <s v=""/>
    <x v="1"/>
    <x v="17"/>
    <s v="MECÂNICO"/>
    <x v="0"/>
    <n v="13"/>
    <n v="0"/>
    <s v="VIROLA TRAVADA"/>
    <s v="P"/>
    <s v="EQUIPAMENTO TRABALHANDO COM CARGA EXCESSIVA "/>
    <s v="VIROLA DO TETO 521"/>
    <s v=""/>
    <x v="21"/>
    <x v="0"/>
    <x v="0"/>
  </r>
  <r>
    <n v="13139"/>
    <d v="2022-11-30T00:00:00"/>
    <x v="4"/>
    <x v="0"/>
    <x v="0"/>
    <x v="0"/>
    <s v="JOSINALDO"/>
    <s v=""/>
    <s v=""/>
    <s v=""/>
    <x v="2"/>
    <x v="6"/>
    <s v="ELÉTRICO"/>
    <x v="0"/>
    <n v="14"/>
    <n v="0"/>
    <s v="FALHA NA BARREIRA DE LUZ"/>
    <s v="P"/>
    <s v="EQUIPAMENTO TRABALHANDO COM CARGA EXCESSIVA "/>
    <s v="PRENSA COM INJEÇÃO PU INNER 03"/>
    <s v=""/>
    <x v="21"/>
    <x v="0"/>
    <x v="0"/>
  </r>
  <r>
    <n v="13140"/>
    <d v="2022-11-30T00:00:00"/>
    <x v="4"/>
    <x v="0"/>
    <x v="0"/>
    <x v="0"/>
    <s v="JOSINALDO"/>
    <s v=""/>
    <s v=""/>
    <s v=""/>
    <x v="2"/>
    <x v="36"/>
    <s v="ELÉTRICO"/>
    <x v="0"/>
    <n v="17"/>
    <n v="0"/>
    <s v="TEMPERATURA DO COLEIRO 521 OSCILANDO"/>
    <s v="P"/>
    <s v="EQUIPAMENTO TRABALHANDO COM CARGA EXCESSIVA "/>
    <s v=""/>
    <s v=""/>
    <x v="21"/>
    <x v="0"/>
    <x v="0"/>
  </r>
  <r>
    <n v="13142"/>
    <d v="2022-11-30T00:00:00"/>
    <x v="5"/>
    <x v="0"/>
    <x v="0"/>
    <x v="0"/>
    <s v="ANDERSON"/>
    <s v=""/>
    <s v=""/>
    <s v=""/>
    <x v="2"/>
    <x v="29"/>
    <s v="MECÂNICO"/>
    <x v="0"/>
    <n v="7"/>
    <n v="0"/>
    <s v="VAZAMENTO DE AR NA PISTOLA DE COLA DA VIROLA DO 551"/>
    <s v="P"/>
    <s v="EQUIPAMENTO TRABALHANDO COM CARGA EXCESSIVA "/>
    <s v=""/>
    <s v=""/>
    <x v="21"/>
    <x v="0"/>
    <x v="0"/>
  </r>
  <r>
    <n v="13143"/>
    <d v="2022-11-30T00:00:00"/>
    <x v="4"/>
    <x v="0"/>
    <x v="0"/>
    <x v="0"/>
    <s v="JOSINALDO"/>
    <s v=""/>
    <s v=""/>
    <s v=""/>
    <x v="2"/>
    <x v="53"/>
    <s v="ELÉTRICO"/>
    <x v="0"/>
    <n v="10"/>
    <n v="0"/>
    <s v="VIROLA DO 521 TRAVADA"/>
    <s v="P"/>
    <s v="EQUIPAMENTO TRABALHANDO COM CARGA EXCESSIVA "/>
    <s v=""/>
    <s v=""/>
    <x v="21"/>
    <x v="0"/>
    <x v="0"/>
  </r>
  <r>
    <n v="13144"/>
    <d v="2022-11-30T00:00:00"/>
    <x v="3"/>
    <x v="0"/>
    <x v="0"/>
    <x v="0"/>
    <s v="RAFAEL"/>
    <s v=""/>
    <s v=""/>
    <s v=""/>
    <x v="2"/>
    <x v="39"/>
    <s v="MECÂNICO"/>
    <x v="0"/>
    <n v="15"/>
    <n v="0"/>
    <s v="BAIXA VAZÃO DE COLA NA PISTOLA DA MONTAGEM DE TETO 226"/>
    <s v="P"/>
    <s v="EQUIPAMENTO TRABALHANDO COM CARGA EXCESSIVA "/>
    <s v=""/>
    <s v=""/>
    <x v="21"/>
    <x v="0"/>
    <x v="0"/>
  </r>
  <r>
    <n v="13147"/>
    <d v="2022-11-30T00:00:00"/>
    <x v="8"/>
    <x v="14"/>
    <x v="0"/>
    <x v="0"/>
    <s v="CRISTIANO"/>
    <s v="SILVIO"/>
    <s v=""/>
    <s v=""/>
    <x v="1"/>
    <x v="8"/>
    <s v="MECÂNICO"/>
    <x v="0"/>
    <n v="7"/>
    <n v="0"/>
    <s v="SAFIRA ESTOURADA ROBO 2"/>
    <s v="P"/>
    <s v="EQUIPAMENTO TRABALHANDO COM CARGA EXCESSIVA "/>
    <s v="CORTE DO TETO  - WATER JET 2"/>
    <s v=""/>
    <x v="21"/>
    <x v="0"/>
    <x v="0"/>
  </r>
  <r>
    <n v="13186"/>
    <d v="2022-11-30T00:00:00"/>
    <x v="1"/>
    <x v="6"/>
    <x v="9"/>
    <x v="0"/>
    <s v="DANILLO"/>
    <s v="GENILSON"/>
    <s v="ELIAS"/>
    <s v=""/>
    <x v="1"/>
    <x v="22"/>
    <s v="MECÂNICO"/>
    <x v="0"/>
    <n v="15"/>
    <n v="0"/>
    <s v="REGULAGEM DO DESMOLDANTE"/>
    <s v="P"/>
    <s v="EQUIPAMENTO TRABALHANDO COM CARGA EXCESSIVA "/>
    <s v="PRENSA COM INJEÇÃO PU 2"/>
    <s v=""/>
    <x v="21"/>
    <x v="0"/>
    <x v="0"/>
  </r>
  <r>
    <n v="13986"/>
    <d v="2022-11-30T00:00:00"/>
    <x v="1"/>
    <x v="0"/>
    <x v="0"/>
    <x v="0"/>
    <s v="DANILLO"/>
    <s v=""/>
    <s v=""/>
    <s v=""/>
    <x v="1"/>
    <x v="10"/>
    <s v="ELÉTRICO"/>
    <x v="0"/>
    <n v="25"/>
    <n v="0"/>
    <s v="BARREIRA DE 521 DESLIGANDO"/>
    <s v="P"/>
    <s v="EQUIPAMENTO TRABALHANDO COM CARGA EXCESSIVA "/>
    <s v="INJETORA"/>
    <s v=""/>
    <x v="21"/>
    <x v="0"/>
    <x v="0"/>
  </r>
  <r>
    <n v="13987"/>
    <d v="2022-11-30T00:00:00"/>
    <x v="1"/>
    <x v="6"/>
    <x v="9"/>
    <x v="0"/>
    <s v="DANILLO"/>
    <s v="GENILSON"/>
    <s v="ELIAS"/>
    <s v=""/>
    <x v="1"/>
    <x v="13"/>
    <s v="ELÉTRICO"/>
    <x v="0"/>
    <n v="15"/>
    <n v="0"/>
    <s v="AUMENTO 1 SEGUNDO DO TEMPO DO DESMOLDANTE"/>
    <s v="P"/>
    <s v="EQUIPAMENTO TRABALHANDO COM CARGA EXCESSIVA "/>
    <s v="PRENSA COM INJEÇÃO PU INNER 02"/>
    <s v=""/>
    <x v="21"/>
    <x v="0"/>
    <x v="0"/>
  </r>
  <r>
    <n v="15014"/>
    <d v="2022-11-30T00:00:00"/>
    <x v="11"/>
    <x v="10"/>
    <x v="0"/>
    <x v="0"/>
    <s v="VALDEMAR"/>
    <s v="EDUARDO"/>
    <s v=""/>
    <s v=""/>
    <x v="0"/>
    <x v="31"/>
    <s v="MECÂNICO"/>
    <x v="0"/>
    <n v="20"/>
    <n v="0"/>
    <s v="ABASTECIDO O TANQUE COM 40L DE ÓLEO 68"/>
    <s v="P"/>
    <s v="EQUIPAMENTO TRABALHANDO COM CARGA EXCESSIVA "/>
    <s v="INJETORA CARPETE"/>
    <s v=""/>
    <x v="21"/>
    <x v="0"/>
    <x v="0"/>
  </r>
  <r>
    <n v="15015"/>
    <d v="2022-11-30T00:00:00"/>
    <x v="11"/>
    <x v="11"/>
    <x v="0"/>
    <x v="0"/>
    <s v="VALDEMAR"/>
    <s v="JOSÉ"/>
    <s v=""/>
    <s v=""/>
    <x v="0"/>
    <x v="16"/>
    <s v="MECÂNICO"/>
    <x v="0"/>
    <n v="16"/>
    <n v="0"/>
    <s v="RESETADO O ROBÔ PARA RETIRAR A FALHA"/>
    <s v="P"/>
    <s v="EQUIPAMENTO TRABALHANDO COM CARGA EXCESSIVA "/>
    <s v="CORTE DO CARPETE- WATER JET"/>
    <s v=""/>
    <x v="21"/>
    <x v="0"/>
    <x v="0"/>
  </r>
  <r>
    <n v="15016"/>
    <d v="2022-11-30T00:00:00"/>
    <x v="10"/>
    <x v="0"/>
    <x v="0"/>
    <x v="0"/>
    <s v="JOSÉ"/>
    <s v=""/>
    <s v=""/>
    <s v=""/>
    <x v="0"/>
    <x v="20"/>
    <s v="ELÉTRICO"/>
    <x v="0"/>
    <n v="5"/>
    <n v="0"/>
    <s v="LIMPEZA DO SCANER"/>
    <s v="C"/>
    <s v="FALHA EM COMPONENTES ELETRONICO"/>
    <s v="PRENSA COM INJEÇÃO PU 1"/>
    <s v=""/>
    <x v="21"/>
    <x v="0"/>
    <x v="0"/>
  </r>
  <r>
    <n v="1245"/>
    <d v="2023-01-16T00:00:00"/>
    <x v="2"/>
    <x v="15"/>
    <x v="0"/>
    <x v="0"/>
    <s v="FELIPE"/>
    <s v="ROBERT"/>
    <s v=""/>
    <s v=""/>
    <x v="1"/>
    <x v="7"/>
    <s v="MECÂNICA"/>
    <x v="1"/>
    <n v="0"/>
    <n v="15"/>
    <s v="SETUP"/>
    <s v="G"/>
    <s v="FALTA DE CONHECIMENTO DO OPERADOR"/>
    <s v="PRENSA DE MOLDAGEM CARPETE"/>
    <s v=""/>
    <x v="22"/>
    <x v="1"/>
    <x v="1"/>
  </r>
  <r>
    <s v="S1007"/>
    <d v="2023-02-01T00:00:00"/>
    <x v="9"/>
    <x v="12"/>
    <x v="0"/>
    <x v="0"/>
    <s v="ROBERT"/>
    <s v="FELIPE"/>
    <s v=""/>
    <s v=""/>
    <x v="1"/>
    <x v="16"/>
    <s v="MECÂNICA"/>
    <x v="1"/>
    <n v="0"/>
    <n v="30"/>
    <s v="TSETSETSET"/>
    <s v="A"/>
    <s v="INFLUENCIA EXTERNA"/>
    <s v="CORTE DO CARPETE- WATER JET"/>
    <s v=""/>
    <x v="0"/>
    <x v="2"/>
    <x v="1"/>
  </r>
  <r>
    <s v="S1008"/>
    <d v="2023-01-12T00:00:00"/>
    <x v="9"/>
    <x v="12"/>
    <x v="0"/>
    <x v="0"/>
    <s v="ROBERT"/>
    <s v="FELIPE"/>
    <s v=""/>
    <s v=""/>
    <x v="1"/>
    <x v="23"/>
    <s v="MECÂNICA"/>
    <x v="1"/>
    <n v="0"/>
    <n v="15"/>
    <s v="TESTETEVUYE"/>
    <s v="A"/>
    <s v="INFLUENCIA EXTERNA"/>
    <s v=""/>
    <s v=""/>
    <x v="10"/>
    <x v="1"/>
    <x v="1"/>
  </r>
  <r>
    <s v="S1009"/>
    <d v="2023-01-21T00:00:00"/>
    <x v="2"/>
    <x v="14"/>
    <x v="0"/>
    <x v="0"/>
    <s v="FELIPE"/>
    <s v="SILVIO"/>
    <s v=""/>
    <s v=""/>
    <x v="1"/>
    <x v="23"/>
    <s v="MECÂNICA"/>
    <x v="1"/>
    <n v="0"/>
    <n v="30"/>
    <s v="SETUP"/>
    <s v="A"/>
    <s v="INFLUENCIA EXTERNA"/>
    <s v=""/>
    <s v=""/>
    <x v="12"/>
    <x v="1"/>
    <x v="1"/>
  </r>
  <r>
    <n v="45898"/>
    <d v="2022-02-21T00:00:00"/>
    <x v="9"/>
    <x v="12"/>
    <x v="0"/>
    <x v="0"/>
    <s v="ROBERT"/>
    <s v="FELIPE"/>
    <s v=""/>
    <s v=""/>
    <x v="1"/>
    <x v="7"/>
    <s v="MECÂNICA"/>
    <x v="0"/>
    <n v="45"/>
    <n v="0"/>
    <s v="TROCA DA SAFIRA"/>
    <s v="P"/>
    <s v="EQUIPAMENTO TRABALHANDO COM CARGA EXCESSIVA "/>
    <s v="PRENSA DE MOLDAGEM CARPETE"/>
    <s v=""/>
    <x v="12"/>
    <x v="2"/>
    <x v="0"/>
  </r>
  <r>
    <s v="S1010"/>
    <d v="2022-02-21T00:00:00"/>
    <x v="2"/>
    <x v="16"/>
    <x v="0"/>
    <x v="0"/>
    <s v="FELIPE"/>
    <s v="CRISTIANO"/>
    <s v=""/>
    <s v=""/>
    <x v="1"/>
    <x v="7"/>
    <s v="MECÂNICA"/>
    <x v="1"/>
    <n v="0"/>
    <n v="30"/>
    <s v="SETUP"/>
    <s v="A"/>
    <s v="INFLUENCIA EXTERNA"/>
    <s v="PRENSA DE MOLDAGEM CARPETE"/>
    <s v=""/>
    <x v="12"/>
    <x v="2"/>
    <x v="0"/>
  </r>
  <r>
    <n v="12456"/>
    <d v="2023-02-21T00:00:00"/>
    <x v="9"/>
    <x v="12"/>
    <x v="0"/>
    <x v="0"/>
    <s v="ROBERT"/>
    <s v="FELIPE"/>
    <s v=""/>
    <s v=""/>
    <x v="1"/>
    <x v="16"/>
    <s v="ELÉTRICA"/>
    <x v="2"/>
    <n v="30"/>
    <n v="0"/>
    <s v="TESTE"/>
    <s v="P"/>
    <s v="EQUIPAMENTO TRABALHANDO COM CARGA EXCESSIVA "/>
    <s v="CORTE DO CARPETE- WATER JET"/>
    <s v=""/>
    <x v="12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serviceTimeTable" cacheId="1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S10:T11" firstHeaderRow="0" firstDataRow="1" firstDataCol="0" rowPageCount="8" colPageCount="1"/>
  <pivotFields count="24">
    <pivotField showAll="0"/>
    <pivotField numFmtId="166" showAll="0"/>
    <pivotField axis="axisPage" showAll="0">
      <items count="18">
        <item x="9"/>
        <item x="11"/>
        <item x="2"/>
        <item x="13"/>
        <item x="7"/>
        <item x="16"/>
        <item x="12"/>
        <item x="14"/>
        <item x="6"/>
        <item x="5"/>
        <item x="8"/>
        <item x="4"/>
        <item x="3"/>
        <item x="15"/>
        <item x="1"/>
        <item x="10"/>
        <item x="0"/>
        <item t="default"/>
      </items>
    </pivotField>
    <pivotField axis="axisPage" showAll="0">
      <items count="18">
        <item x="15"/>
        <item x="5"/>
        <item x="12"/>
        <item x="4"/>
        <item x="3"/>
        <item x="14"/>
        <item x="10"/>
        <item x="13"/>
        <item x="1"/>
        <item x="16"/>
        <item x="2"/>
        <item x="7"/>
        <item x="6"/>
        <item x="8"/>
        <item x="11"/>
        <item x="9"/>
        <item x="0"/>
        <item t="default"/>
      </items>
    </pivotField>
    <pivotField axis="axisPage" showAll="0">
      <items count="11">
        <item x="8"/>
        <item x="7"/>
        <item x="2"/>
        <item x="9"/>
        <item x="1"/>
        <item x="4"/>
        <item x="6"/>
        <item x="5"/>
        <item x="3"/>
        <item x="0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showAll="0"/>
    <pivotField showAll="0"/>
    <pivotField showAll="0" defaultSubtotal="0"/>
    <pivotField dataField="1" showAll="0"/>
    <pivotField dataField="1" showAll="0"/>
    <pivotField showAll="0"/>
    <pivotField showAll="0"/>
    <pivotField showAll="0"/>
    <pivotField showAll="0"/>
    <pivotField showAll="0"/>
    <pivotField axis="axisPage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8">
    <pageField fld="2" hier="-1"/>
    <pageField fld="3" hier="-1"/>
    <pageField fld="4" hier="-1"/>
    <pageField fld="5" hier="-1"/>
    <pageField fld="10" hier="-1"/>
    <pageField fld="21" item="21" hier="-1"/>
    <pageField fld="22" item="0" hier="-1"/>
    <pageField fld="23" item="0" hier="-1"/>
  </pageFields>
  <dataFields count="2">
    <dataField name="Soma de Tempo Parada" fld="14" baseField="0" baseItem="1"/>
    <dataField name="Soma de Tempo Setup" fld="1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op 10" cacheId="4" applyNumberFormats="0" applyBorderFormats="0" applyFontFormats="0" applyPatternFormats="0" applyAlignmentFormats="0" applyWidthHeightFormats="1" dataCaption="Valores" updatedVersion="5" minRefreshableVersion="3" useAutoFormatting="1" subtotalHiddenItems="1" itemPrintTitles="1" createdVersion="5" indent="0" outline="1" outlineData="1" multipleFieldFilters="0" chartFormat="10">
  <location ref="H7:I18" firstHeaderRow="1" firstDataRow="1" firstDataCol="1" rowPageCount="5" colPageCount="1"/>
  <pivotFields count="7">
    <pivotField dataField="1" showAll="0"/>
    <pivotField axis="axisRow" allDrilled="1" showAll="0" measureFilter="1" sortType="descending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"/>
  </rowFields>
  <rowItems count="11">
    <i>
      <x v="5"/>
    </i>
    <i>
      <x v="6"/>
    </i>
    <i>
      <x v="4"/>
    </i>
    <i>
      <x v="3"/>
    </i>
    <i>
      <x v="9"/>
    </i>
    <i>
      <x v="1"/>
    </i>
    <i>
      <x v="8"/>
    </i>
    <i>
      <x v="2"/>
    </i>
    <i>
      <x/>
    </i>
    <i>
      <x v="7"/>
    </i>
    <i t="grand">
      <x/>
    </i>
  </rowItems>
  <colItems count="1">
    <i/>
  </colItems>
  <pageFields count="5">
    <pageField fld="4" hier="21" name="[Tabela1].[Dia].[All]" cap="All"/>
    <pageField fld="5" hier="22" name="[Tabela1].[Mês].[All]" cap="All"/>
    <pageField fld="6" hier="23" name="[Tabela1].[Ano].[All]" cap="All"/>
    <pageField fld="2" hier="10" name="[Tabela1].[Turno].[All]" cap="All"/>
    <pageField fld="3" hier="12" name="[Tabela1].[Natureza].[All]" cap="All"/>
  </pageFields>
  <dataFields count="1">
    <dataField name="Soma de Tempo Parada" fld="0" baseField="0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Hierarchies count="31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1" type="count" id="2" iMeasureHier="27">
      <autoFilter ref="A1">
        <filterColumn colId="0">
          <top10 val="10" filterVal="10"/>
        </filterColumn>
      </autoFilter>
    </filter>
  </filters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stratificação 2.0.xlsx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empo de parada" cacheId="1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K8:L9" firstHeaderRow="0" firstDataRow="1" firstDataCol="0" rowPageCount="6" colPageCount="1"/>
  <pivotFields count="24"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h="1" m="1" x="3"/>
        <item x="1"/>
        <item x="2"/>
        <item x="0"/>
        <item t="default"/>
      </items>
    </pivotField>
    <pivotField axis="axisPage" showAll="0">
      <items count="55">
        <item x="9"/>
        <item x="47"/>
        <item x="48"/>
        <item x="39"/>
        <item x="36"/>
        <item x="29"/>
        <item x="46"/>
        <item x="40"/>
        <item x="50"/>
        <item n="M02" x="34"/>
        <item n="M03" x="18"/>
        <item x="44"/>
        <item x="10"/>
        <item n="M08" x="28"/>
        <item n="M09" x="3"/>
        <item x="51"/>
        <item x="13"/>
        <item x="42"/>
        <item n="M13" x="6"/>
        <item n="M25"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n="M29" x="26"/>
        <item n="M32" x="30"/>
        <item x="4"/>
        <item x="43"/>
        <item x="15"/>
        <item x="45"/>
        <item x="7"/>
        <item x="14"/>
        <item n="M38" x="20"/>
        <item n="M39" x="22"/>
        <item x="31"/>
        <item n="Aquece.Água" x="16"/>
        <item x="49"/>
        <item n="M01" x="33"/>
        <item x="23"/>
        <item x="27"/>
        <item x="25"/>
        <item x="37"/>
        <item x="52"/>
        <item x="2"/>
        <item x="35"/>
        <item x="53"/>
        <item t="default"/>
      </items>
    </pivotField>
    <pivotField showAll="0"/>
    <pivotField axis="axisPage" multipleItemSelectionAllowed="1" showAll="0">
      <items count="4">
        <item x="0"/>
        <item h="1" x="2"/>
        <item h="1"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22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Page" showAll="0">
      <items count="4">
        <item x="1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6">
    <pageField fld="11" item="45" hier="-1"/>
    <pageField fld="13" hier="-1"/>
    <pageField fld="21" hier="-1"/>
    <pageField fld="22" item="2" hier="-1"/>
    <pageField fld="23" item="0" hier="-1"/>
    <pageField fld="10" hier="-1"/>
  </pageFields>
  <dataFields count="2">
    <dataField name="Soma de Tempo Parada" fld="14" baseField="0" baseItem="0"/>
    <dataField name="Contagem de Tempo Parada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A1:X258" totalsRowShown="0" headerRowDxfId="25" dataDxfId="24">
  <autoFilter ref="A1:X258">
    <filterColumn colId="11">
      <filters>
        <filter val="M01"/>
      </filters>
    </filterColumn>
  </autoFilter>
  <tableColumns count="24">
    <tableColumn id="1" name="N° Os" dataDxfId="23"/>
    <tableColumn id="2" name="Data" dataDxfId="22"/>
    <tableColumn id="20" name="Mat. 1" dataDxfId="21" dataCellStyle="Vírgula"/>
    <tableColumn id="19" name="Mat. 2" dataDxfId="20"/>
    <tableColumn id="18" name="Mat. 3" dataDxfId="19"/>
    <tableColumn id="17" name="Mat. 4" dataDxfId="18"/>
    <tableColumn id="3" name="Manut 1" dataDxfId="17">
      <calculatedColumnFormula>IFERROR(VLOOKUP(Tabela1[[#This Row],[Mat. 1]],'Base de Dados'!$I$5:$J$21,2,0),"")</calculatedColumnFormula>
    </tableColumn>
    <tableColumn id="4" name="Manut 2" dataDxfId="16">
      <calculatedColumnFormula>IFERROR(VLOOKUP(Tabela1[[#This Row],[Mat. 2]],'Base de Dados'!$I$5:$J$21,2,0),"")</calculatedColumnFormula>
    </tableColumn>
    <tableColumn id="5" name="Manut 3" dataDxfId="15">
      <calculatedColumnFormula>IFERROR(VLOOKUP(Tabela1[[#This Row],[Mat. 3]],'Base de Dados'!$I$5:$J$21,2,0),"")</calculatedColumnFormula>
    </tableColumn>
    <tableColumn id="6" name="Manut 4" dataDxfId="14">
      <calculatedColumnFormula>IFERROR(VLOOKUP(Tabela1[[#This Row],[Mat. 4]],'Base de Dados'!$I$5:$J$21,2,0),"")</calculatedColumnFormula>
    </tableColumn>
    <tableColumn id="7" name="Turno" dataDxfId="13">
      <calculatedColumnFormula>IFERROR(VLOOKUP(Tabela1[[#This Row],[Mat. 1]],'Base de Dados'!$I$2:$M$21,5,0),"")</calculatedColumnFormula>
    </tableColumn>
    <tableColumn id="8" name="Tag" dataDxfId="12"/>
    <tableColumn id="9" name="Natureza" dataDxfId="11"/>
    <tableColumn id="24" name="Tipo" dataDxfId="10"/>
    <tableColumn id="10" name="Tempo Parada" dataDxfId="9"/>
    <tableColumn id="11" name="Tempo Setup" dataDxfId="8"/>
    <tableColumn id="13" name="Falha" dataDxfId="7"/>
    <tableColumn id="12" name="Cód. Causa" dataDxfId="6"/>
    <tableColumn id="14" name="Tipo de Causa" dataDxfId="5">
      <calculatedColumnFormula>IFERROR(VLOOKUP(Tabela1[[#This Row],[Cód. Causa]],'Base de Dados'!$O$2:$P$21,2,0),"")</calculatedColumnFormula>
    </tableColumn>
    <tableColumn id="15" name="Equipamento" dataDxfId="4">
      <calculatedColumnFormula>IFERROR(VLOOKUP(Tabela1[[#This Row],[Tag]],'Base de Dados'!$B$2:$C$64,2,0),"")</calculatedColumnFormula>
    </tableColumn>
    <tableColumn id="16" name="Setor " dataDxfId="3">
      <calculatedColumnFormula>IFERROR(VLOOKUP(Tabela1[[#This Row],[Tag]],'Base de Dados'!V2:W54,2,0),"")</calculatedColumnFormula>
    </tableColumn>
    <tableColumn id="21" name="Dia" dataDxfId="2">
      <calculatedColumnFormula>DAY(Tabela1[[#This Row],[Data]])</calculatedColumnFormula>
    </tableColumn>
    <tableColumn id="22" name="Mês" dataDxfId="1">
      <calculatedColumnFormula>MONTH(Tabela1[[#This Row],[Data]])</calculatedColumnFormula>
    </tableColumn>
    <tableColumn id="23" name="Ano" dataDxfId="0">
      <calculatedColumnFormula>YEAR(Tabela1[[#This Row],[Data]])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rtlCol="0" anchor="ctr"/>
      <a:lstStyle>
        <a:defPPr algn="ctr">
          <a:defRPr sz="1200" b="1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A123"/>
  <sheetViews>
    <sheetView topLeftCell="Q1" workbookViewId="0">
      <selection activeCell="T32" sqref="T32"/>
    </sheetView>
  </sheetViews>
  <sheetFormatPr defaultRowHeight="15" x14ac:dyDescent="0.25"/>
  <cols>
    <col min="1" max="1" width="2.7109375" bestFit="1" customWidth="1"/>
    <col min="2" max="2" width="10.140625" bestFit="1" customWidth="1"/>
    <col min="3" max="3" width="26.85546875" bestFit="1" customWidth="1"/>
    <col min="4" max="4" width="23.7109375" bestFit="1" customWidth="1"/>
    <col min="5" max="5" width="3.7109375" customWidth="1"/>
    <col min="6" max="6" width="8" bestFit="1" customWidth="1"/>
    <col min="7" max="7" width="9.5703125" bestFit="1" customWidth="1"/>
    <col min="8" max="8" width="5" customWidth="1"/>
    <col min="10" max="10" width="9.7109375" bestFit="1" customWidth="1"/>
    <col min="11" max="11" width="26.85546875" bestFit="1" customWidth="1"/>
    <col min="12" max="12" width="23.7109375" bestFit="1" customWidth="1"/>
    <col min="13" max="13" width="6.140625" bestFit="1" customWidth="1"/>
    <col min="14" max="14" width="4" customWidth="1"/>
    <col min="15" max="15" width="2.140625" bestFit="1" customWidth="1"/>
    <col min="16" max="16" width="59.5703125" bestFit="1" customWidth="1"/>
    <col min="17" max="17" width="4.42578125" customWidth="1"/>
    <col min="18" max="18" width="26.85546875" bestFit="1" customWidth="1"/>
    <col min="19" max="19" width="23.7109375" bestFit="1" customWidth="1"/>
    <col min="20" max="20" width="6.140625" bestFit="1" customWidth="1"/>
    <col min="22" max="22" width="16.85546875" style="27" bestFit="1" customWidth="1"/>
    <col min="23" max="23" width="11.85546875" style="27" bestFit="1" customWidth="1"/>
    <col min="26" max="26" width="19.85546875" bestFit="1" customWidth="1"/>
  </cols>
  <sheetData>
    <row r="1" spans="1:26" s="1" customFormat="1" ht="32.2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F1" s="3" t="s">
        <v>4</v>
      </c>
      <c r="G1" s="3" t="s">
        <v>5</v>
      </c>
      <c r="I1" s="4" t="s">
        <v>6</v>
      </c>
      <c r="J1" s="3" t="s">
        <v>7</v>
      </c>
      <c r="K1" s="3" t="s">
        <v>8</v>
      </c>
      <c r="L1" s="3" t="s">
        <v>9</v>
      </c>
      <c r="M1" s="3" t="s">
        <v>4</v>
      </c>
      <c r="N1" s="5"/>
      <c r="O1" s="60" t="s">
        <v>10</v>
      </c>
      <c r="P1" s="60"/>
      <c r="R1" s="3" t="s">
        <v>7</v>
      </c>
      <c r="S1" s="4" t="s">
        <v>217</v>
      </c>
      <c r="T1" s="4" t="s">
        <v>4</v>
      </c>
      <c r="V1" s="3" t="s">
        <v>1</v>
      </c>
      <c r="W1" s="3" t="s">
        <v>254</v>
      </c>
      <c r="Y1" s="3" t="s">
        <v>275</v>
      </c>
      <c r="Z1" s="3" t="s">
        <v>276</v>
      </c>
    </row>
    <row r="2" spans="1:26" s="5" customFormat="1" ht="20.25" customHeight="1" x14ac:dyDescent="0.25">
      <c r="A2" s="6">
        <v>1</v>
      </c>
      <c r="B2" s="7" t="s">
        <v>11</v>
      </c>
      <c r="C2" s="8" t="s">
        <v>12</v>
      </c>
      <c r="D2" s="9" t="s">
        <v>13</v>
      </c>
      <c r="F2" s="10" t="s">
        <v>14</v>
      </c>
      <c r="G2" s="10">
        <v>588</v>
      </c>
      <c r="I2" s="10">
        <v>282</v>
      </c>
      <c r="J2" s="10" t="s">
        <v>15</v>
      </c>
      <c r="K2" s="10" t="s">
        <v>16</v>
      </c>
      <c r="L2" s="10" t="s">
        <v>17</v>
      </c>
      <c r="M2" s="12" t="s">
        <v>18</v>
      </c>
      <c r="O2" s="12" t="s">
        <v>19</v>
      </c>
      <c r="P2" s="13" t="s">
        <v>20</v>
      </c>
      <c r="R2" s="10" t="s">
        <v>107</v>
      </c>
      <c r="S2" s="10" t="s">
        <v>108</v>
      </c>
      <c r="T2" s="12" t="s">
        <v>109</v>
      </c>
      <c r="V2" s="25" t="s">
        <v>11</v>
      </c>
      <c r="W2" s="25" t="s">
        <v>13</v>
      </c>
      <c r="Y2" s="25" t="s">
        <v>42</v>
      </c>
      <c r="Z2" s="25" t="s">
        <v>277</v>
      </c>
    </row>
    <row r="3" spans="1:26" s="5" customFormat="1" ht="20.25" customHeight="1" x14ac:dyDescent="0.25">
      <c r="A3" s="6">
        <f>A2+1</f>
        <v>2</v>
      </c>
      <c r="B3" s="7" t="s">
        <v>21</v>
      </c>
      <c r="C3" s="8" t="s">
        <v>22</v>
      </c>
      <c r="D3" s="9" t="s">
        <v>13</v>
      </c>
      <c r="F3" s="10" t="s">
        <v>18</v>
      </c>
      <c r="G3" s="10">
        <v>561</v>
      </c>
      <c r="I3" s="10">
        <v>267</v>
      </c>
      <c r="J3" s="10" t="s">
        <v>23</v>
      </c>
      <c r="K3" s="10" t="s">
        <v>24</v>
      </c>
      <c r="L3" s="10" t="s">
        <v>25</v>
      </c>
      <c r="M3" s="12" t="s">
        <v>18</v>
      </c>
      <c r="O3" s="12" t="s">
        <v>26</v>
      </c>
      <c r="P3" s="13" t="s">
        <v>27</v>
      </c>
      <c r="R3" s="10" t="s">
        <v>32</v>
      </c>
      <c r="S3" s="10" t="s">
        <v>33</v>
      </c>
      <c r="T3" s="12" t="s">
        <v>14</v>
      </c>
      <c r="V3" s="25" t="s">
        <v>21</v>
      </c>
      <c r="W3" s="25" t="s">
        <v>13</v>
      </c>
      <c r="Y3" s="25" t="s">
        <v>66</v>
      </c>
      <c r="Z3" s="25" t="s">
        <v>277</v>
      </c>
    </row>
    <row r="4" spans="1:26" s="5" customFormat="1" ht="20.25" customHeight="1" x14ac:dyDescent="0.25">
      <c r="A4" s="6">
        <f t="shared" ref="A4:A64" si="0">A3+1</f>
        <v>3</v>
      </c>
      <c r="B4" s="7" t="s">
        <v>28</v>
      </c>
      <c r="C4" s="8" t="s">
        <v>29</v>
      </c>
      <c r="D4" s="9" t="s">
        <v>13</v>
      </c>
      <c r="F4" s="10" t="s">
        <v>30</v>
      </c>
      <c r="G4" s="10">
        <v>291</v>
      </c>
      <c r="I4" s="10">
        <v>188</v>
      </c>
      <c r="J4" s="10" t="s">
        <v>31</v>
      </c>
      <c r="K4" s="10" t="s">
        <v>32</v>
      </c>
      <c r="L4" s="10" t="s">
        <v>33</v>
      </c>
      <c r="M4" s="12" t="s">
        <v>14</v>
      </c>
      <c r="O4" s="12" t="s">
        <v>34</v>
      </c>
      <c r="P4" s="13" t="s">
        <v>35</v>
      </c>
      <c r="R4" s="10" t="s">
        <v>218</v>
      </c>
      <c r="S4" s="10" t="s">
        <v>219</v>
      </c>
      <c r="T4" s="12" t="s">
        <v>220</v>
      </c>
      <c r="V4" s="25" t="s">
        <v>28</v>
      </c>
      <c r="W4" s="25" t="s">
        <v>13</v>
      </c>
      <c r="Y4" s="25" t="s">
        <v>73</v>
      </c>
      <c r="Z4" s="25" t="s">
        <v>277</v>
      </c>
    </row>
    <row r="5" spans="1:26" s="5" customFormat="1" ht="20.25" customHeight="1" x14ac:dyDescent="0.25">
      <c r="A5" s="6">
        <f t="shared" si="0"/>
        <v>4</v>
      </c>
      <c r="B5" s="10" t="s">
        <v>36</v>
      </c>
      <c r="C5" s="8" t="s">
        <v>29</v>
      </c>
      <c r="D5" s="9" t="s">
        <v>13</v>
      </c>
      <c r="I5" s="10">
        <v>444</v>
      </c>
      <c r="J5" s="10" t="s">
        <v>37</v>
      </c>
      <c r="K5" s="10" t="s">
        <v>38</v>
      </c>
      <c r="L5" s="10" t="s">
        <v>39</v>
      </c>
      <c r="M5" s="12" t="s">
        <v>30</v>
      </c>
      <c r="O5" s="12" t="s">
        <v>40</v>
      </c>
      <c r="P5" s="13" t="s">
        <v>41</v>
      </c>
      <c r="R5" s="10" t="s">
        <v>50</v>
      </c>
      <c r="S5" s="10" t="s">
        <v>25</v>
      </c>
      <c r="T5" s="12" t="s">
        <v>14</v>
      </c>
      <c r="V5" s="25" t="s">
        <v>36</v>
      </c>
      <c r="W5" s="25" t="s">
        <v>13</v>
      </c>
      <c r="Y5" s="25" t="s">
        <v>79</v>
      </c>
      <c r="Z5" s="25" t="s">
        <v>277</v>
      </c>
    </row>
    <row r="6" spans="1:26" s="5" customFormat="1" ht="20.25" customHeight="1" x14ac:dyDescent="0.25">
      <c r="A6" s="6">
        <f t="shared" si="0"/>
        <v>5</v>
      </c>
      <c r="B6" s="10" t="s">
        <v>42</v>
      </c>
      <c r="C6" s="8" t="s">
        <v>43</v>
      </c>
      <c r="D6" s="9" t="s">
        <v>44</v>
      </c>
      <c r="I6" s="10">
        <v>185</v>
      </c>
      <c r="J6" s="10" t="s">
        <v>49</v>
      </c>
      <c r="K6" s="10" t="s">
        <v>50</v>
      </c>
      <c r="L6" s="10" t="s">
        <v>25</v>
      </c>
      <c r="M6" s="12" t="s">
        <v>14</v>
      </c>
      <c r="O6" s="12" t="s">
        <v>45</v>
      </c>
      <c r="P6" s="13" t="s">
        <v>46</v>
      </c>
      <c r="R6" s="10" t="s">
        <v>69</v>
      </c>
      <c r="S6" s="10" t="s">
        <v>70</v>
      </c>
      <c r="T6" s="12" t="s">
        <v>220</v>
      </c>
      <c r="V6" s="25" t="s">
        <v>42</v>
      </c>
      <c r="W6" s="25" t="s">
        <v>44</v>
      </c>
      <c r="Y6" s="25" t="s">
        <v>85</v>
      </c>
      <c r="Z6" s="25" t="s">
        <v>277</v>
      </c>
    </row>
    <row r="7" spans="1:26" s="5" customFormat="1" ht="20.25" customHeight="1" x14ac:dyDescent="0.25">
      <c r="A7" s="6">
        <f t="shared" si="0"/>
        <v>6</v>
      </c>
      <c r="B7" s="10" t="s">
        <v>47</v>
      </c>
      <c r="C7" s="8" t="s">
        <v>48</v>
      </c>
      <c r="D7" s="9" t="s">
        <v>44</v>
      </c>
      <c r="I7" s="10">
        <v>299</v>
      </c>
      <c r="J7" s="10" t="s">
        <v>55</v>
      </c>
      <c r="K7" s="10" t="s">
        <v>56</v>
      </c>
      <c r="L7" s="10" t="s">
        <v>25</v>
      </c>
      <c r="M7" s="12" t="s">
        <v>30</v>
      </c>
      <c r="O7" s="12" t="s">
        <v>51</v>
      </c>
      <c r="P7" s="13" t="s">
        <v>52</v>
      </c>
      <c r="R7" s="10" t="s">
        <v>82</v>
      </c>
      <c r="S7" s="10" t="s">
        <v>25</v>
      </c>
      <c r="T7" s="12" t="s">
        <v>14</v>
      </c>
      <c r="V7" s="25" t="s">
        <v>47</v>
      </c>
      <c r="W7" s="25" t="s">
        <v>44</v>
      </c>
      <c r="Y7" s="25" t="s">
        <v>177</v>
      </c>
      <c r="Z7" s="25" t="s">
        <v>277</v>
      </c>
    </row>
    <row r="8" spans="1:26" s="5" customFormat="1" ht="20.25" customHeight="1" x14ac:dyDescent="0.25">
      <c r="A8" s="6">
        <f t="shared" si="0"/>
        <v>7</v>
      </c>
      <c r="B8" s="10" t="s">
        <v>53</v>
      </c>
      <c r="C8" s="8" t="s">
        <v>54</v>
      </c>
      <c r="D8" s="9" t="s">
        <v>44</v>
      </c>
      <c r="I8" s="10">
        <v>631</v>
      </c>
      <c r="J8" s="10" t="s">
        <v>61</v>
      </c>
      <c r="K8" s="10" t="s">
        <v>62</v>
      </c>
      <c r="L8" s="10" t="s">
        <v>63</v>
      </c>
      <c r="M8" s="12" t="s">
        <v>18</v>
      </c>
      <c r="O8" s="12" t="s">
        <v>57</v>
      </c>
      <c r="P8" s="13" t="s">
        <v>58</v>
      </c>
      <c r="R8" s="10" t="s">
        <v>115</v>
      </c>
      <c r="S8" s="10" t="s">
        <v>25</v>
      </c>
      <c r="T8" s="12" t="s">
        <v>14</v>
      </c>
      <c r="V8" s="25" t="s">
        <v>53</v>
      </c>
      <c r="W8" s="25" t="s">
        <v>44</v>
      </c>
      <c r="Y8" s="25" t="s">
        <v>179</v>
      </c>
      <c r="Z8" s="25" t="s">
        <v>277</v>
      </c>
    </row>
    <row r="9" spans="1:26" s="5" customFormat="1" ht="20.25" customHeight="1" x14ac:dyDescent="0.25">
      <c r="A9" s="6">
        <f t="shared" si="0"/>
        <v>8</v>
      </c>
      <c r="B9" s="10" t="s">
        <v>59</v>
      </c>
      <c r="C9" s="8" t="s">
        <v>60</v>
      </c>
      <c r="D9" s="9" t="s">
        <v>44</v>
      </c>
      <c r="I9" s="10">
        <v>680</v>
      </c>
      <c r="J9" s="10" t="s">
        <v>68</v>
      </c>
      <c r="K9" s="10" t="s">
        <v>69</v>
      </c>
      <c r="L9" s="10" t="s">
        <v>70</v>
      </c>
      <c r="M9" s="12" t="s">
        <v>14</v>
      </c>
      <c r="O9" s="12" t="s">
        <v>64</v>
      </c>
      <c r="P9" s="13" t="s">
        <v>65</v>
      </c>
      <c r="R9" s="10" t="s">
        <v>121</v>
      </c>
      <c r="S9" s="10" t="s">
        <v>25</v>
      </c>
      <c r="T9" s="12" t="s">
        <v>14</v>
      </c>
      <c r="V9" s="25" t="s">
        <v>59</v>
      </c>
      <c r="W9" s="25" t="s">
        <v>44</v>
      </c>
      <c r="Y9" s="25" t="s">
        <v>181</v>
      </c>
      <c r="Z9" s="25" t="s">
        <v>277</v>
      </c>
    </row>
    <row r="10" spans="1:26" s="5" customFormat="1" ht="20.25" customHeight="1" x14ac:dyDescent="0.25">
      <c r="A10" s="6">
        <f t="shared" si="0"/>
        <v>9</v>
      </c>
      <c r="B10" s="10" t="s">
        <v>66</v>
      </c>
      <c r="C10" s="8" t="s">
        <v>67</v>
      </c>
      <c r="D10" s="9" t="s">
        <v>44</v>
      </c>
      <c r="I10" s="10">
        <v>677</v>
      </c>
      <c r="J10" s="10" t="s">
        <v>75</v>
      </c>
      <c r="K10" s="10" t="s">
        <v>76</v>
      </c>
      <c r="L10" s="10" t="s">
        <v>39</v>
      </c>
      <c r="M10" s="12" t="s">
        <v>18</v>
      </c>
      <c r="O10" s="12" t="s">
        <v>71</v>
      </c>
      <c r="P10" s="13" t="s">
        <v>72</v>
      </c>
      <c r="R10" s="10" t="s">
        <v>127</v>
      </c>
      <c r="S10" s="10" t="s">
        <v>63</v>
      </c>
      <c r="T10" s="12" t="s">
        <v>14</v>
      </c>
      <c r="V10" s="25" t="s">
        <v>66</v>
      </c>
      <c r="W10" s="25" t="s">
        <v>44</v>
      </c>
      <c r="Y10" s="25" t="s">
        <v>183</v>
      </c>
      <c r="Z10" s="25" t="s">
        <v>277</v>
      </c>
    </row>
    <row r="11" spans="1:26" s="5" customFormat="1" ht="20.25" customHeight="1" x14ac:dyDescent="0.25">
      <c r="A11" s="6">
        <f t="shared" si="0"/>
        <v>10</v>
      </c>
      <c r="B11" s="10" t="s">
        <v>73</v>
      </c>
      <c r="C11" s="8" t="s">
        <v>74</v>
      </c>
      <c r="D11" s="9" t="s">
        <v>44</v>
      </c>
      <c r="I11" s="10">
        <v>15</v>
      </c>
      <c r="J11" s="10" t="s">
        <v>81</v>
      </c>
      <c r="K11" s="10" t="s">
        <v>82</v>
      </c>
      <c r="L11" s="10" t="s">
        <v>25</v>
      </c>
      <c r="M11" s="12" t="s">
        <v>14</v>
      </c>
      <c r="O11" s="12" t="s">
        <v>77</v>
      </c>
      <c r="P11" s="13" t="s">
        <v>78</v>
      </c>
      <c r="R11" s="10" t="s">
        <v>138</v>
      </c>
      <c r="S11" s="10" t="s">
        <v>63</v>
      </c>
      <c r="T11" s="12" t="s">
        <v>14</v>
      </c>
      <c r="V11" s="25" t="s">
        <v>73</v>
      </c>
      <c r="W11" s="25" t="s">
        <v>44</v>
      </c>
      <c r="Y11" s="25" t="s">
        <v>11</v>
      </c>
      <c r="Z11" s="25" t="s">
        <v>278</v>
      </c>
    </row>
    <row r="12" spans="1:26" s="5" customFormat="1" ht="20.25" customHeight="1" x14ac:dyDescent="0.25">
      <c r="A12" s="6">
        <f t="shared" si="0"/>
        <v>11</v>
      </c>
      <c r="B12" s="10" t="s">
        <v>79</v>
      </c>
      <c r="C12" s="8" t="s">
        <v>80</v>
      </c>
      <c r="D12" s="9" t="s">
        <v>44</v>
      </c>
      <c r="I12" s="10">
        <v>248</v>
      </c>
      <c r="J12" s="10" t="s">
        <v>87</v>
      </c>
      <c r="K12" s="10" t="s">
        <v>88</v>
      </c>
      <c r="L12" s="10" t="s">
        <v>25</v>
      </c>
      <c r="M12" s="12" t="s">
        <v>18</v>
      </c>
      <c r="O12" s="12" t="s">
        <v>83</v>
      </c>
      <c r="P12" s="13" t="s">
        <v>84</v>
      </c>
      <c r="R12" s="10" t="s">
        <v>144</v>
      </c>
      <c r="S12" s="10" t="s">
        <v>63</v>
      </c>
      <c r="T12" s="12" t="s">
        <v>14</v>
      </c>
      <c r="V12" s="25" t="s">
        <v>79</v>
      </c>
      <c r="W12" s="25" t="s">
        <v>44</v>
      </c>
      <c r="Y12" s="25" t="s">
        <v>21</v>
      </c>
      <c r="Z12" s="25" t="s">
        <v>278</v>
      </c>
    </row>
    <row r="13" spans="1:26" s="5" customFormat="1" ht="20.25" customHeight="1" x14ac:dyDescent="0.25">
      <c r="A13" s="6">
        <f t="shared" si="0"/>
        <v>12</v>
      </c>
      <c r="B13" s="10" t="s">
        <v>85</v>
      </c>
      <c r="C13" s="8" t="s">
        <v>86</v>
      </c>
      <c r="D13" s="9" t="s">
        <v>44</v>
      </c>
      <c r="I13" s="10">
        <v>435</v>
      </c>
      <c r="J13" s="10" t="s">
        <v>94</v>
      </c>
      <c r="K13" s="10" t="s">
        <v>95</v>
      </c>
      <c r="L13" s="10" t="s">
        <v>63</v>
      </c>
      <c r="M13" s="12" t="s">
        <v>14</v>
      </c>
      <c r="O13" s="12" t="s">
        <v>89</v>
      </c>
      <c r="P13" s="13" t="s">
        <v>90</v>
      </c>
      <c r="R13" s="10" t="s">
        <v>16</v>
      </c>
      <c r="S13" s="10" t="s">
        <v>17</v>
      </c>
      <c r="T13" s="12" t="s">
        <v>18</v>
      </c>
      <c r="V13" s="25" t="s">
        <v>85</v>
      </c>
      <c r="W13" s="25" t="s">
        <v>44</v>
      </c>
      <c r="Y13" s="25" t="s">
        <v>47</v>
      </c>
      <c r="Z13" s="25" t="s">
        <v>279</v>
      </c>
    </row>
    <row r="14" spans="1:26" s="5" customFormat="1" ht="20.25" customHeight="1" x14ac:dyDescent="0.25">
      <c r="A14" s="6">
        <f t="shared" si="0"/>
        <v>13</v>
      </c>
      <c r="B14" s="10" t="s">
        <v>91</v>
      </c>
      <c r="C14" s="8" t="s">
        <v>92</v>
      </c>
      <c r="D14" s="9" t="s">
        <v>93</v>
      </c>
      <c r="I14" s="10">
        <v>73</v>
      </c>
      <c r="J14" s="10" t="s">
        <v>100</v>
      </c>
      <c r="K14" s="10" t="s">
        <v>101</v>
      </c>
      <c r="L14" s="10" t="s">
        <v>25</v>
      </c>
      <c r="M14" s="12" t="s">
        <v>30</v>
      </c>
      <c r="O14" s="12" t="s">
        <v>96</v>
      </c>
      <c r="P14" s="13" t="s">
        <v>97</v>
      </c>
      <c r="R14" s="10" t="s">
        <v>24</v>
      </c>
      <c r="S14" s="10" t="s">
        <v>25</v>
      </c>
      <c r="T14" s="12" t="s">
        <v>18</v>
      </c>
      <c r="V14" s="25" t="s">
        <v>152</v>
      </c>
      <c r="W14" s="25" t="s">
        <v>44</v>
      </c>
      <c r="Y14" s="25" t="s">
        <v>172</v>
      </c>
      <c r="Z14" s="25" t="s">
        <v>279</v>
      </c>
    </row>
    <row r="15" spans="1:26" s="5" customFormat="1" ht="20.25" customHeight="1" x14ac:dyDescent="0.25">
      <c r="A15" s="6">
        <f t="shared" si="0"/>
        <v>14</v>
      </c>
      <c r="B15" s="10" t="s">
        <v>98</v>
      </c>
      <c r="C15" s="8" t="s">
        <v>99</v>
      </c>
      <c r="D15" s="9" t="s">
        <v>93</v>
      </c>
      <c r="I15" s="10">
        <v>721</v>
      </c>
      <c r="J15" s="10" t="s">
        <v>106</v>
      </c>
      <c r="K15" s="10" t="s">
        <v>107</v>
      </c>
      <c r="L15" s="10" t="s">
        <v>108</v>
      </c>
      <c r="M15" s="12" t="s">
        <v>14</v>
      </c>
      <c r="O15" s="12" t="s">
        <v>102</v>
      </c>
      <c r="P15" s="13" t="s">
        <v>103</v>
      </c>
      <c r="R15" s="10" t="s">
        <v>62</v>
      </c>
      <c r="S15" s="10" t="s">
        <v>63</v>
      </c>
      <c r="T15" s="12" t="s">
        <v>18</v>
      </c>
      <c r="V15" s="25" t="s">
        <v>162</v>
      </c>
      <c r="W15" s="25" t="s">
        <v>44</v>
      </c>
      <c r="Y15" s="25" t="s">
        <v>53</v>
      </c>
      <c r="Z15" s="25" t="s">
        <v>280</v>
      </c>
    </row>
    <row r="16" spans="1:26" s="5" customFormat="1" ht="20.25" customHeight="1" x14ac:dyDescent="0.25">
      <c r="A16" s="6">
        <f t="shared" si="0"/>
        <v>15</v>
      </c>
      <c r="B16" s="10" t="s">
        <v>104</v>
      </c>
      <c r="C16" s="8" t="s">
        <v>105</v>
      </c>
      <c r="D16" s="9" t="s">
        <v>93</v>
      </c>
      <c r="I16" s="10">
        <v>493</v>
      </c>
      <c r="J16" s="10" t="s">
        <v>114</v>
      </c>
      <c r="K16" s="10" t="s">
        <v>115</v>
      </c>
      <c r="L16" s="10" t="s">
        <v>25</v>
      </c>
      <c r="M16" s="12" t="s">
        <v>14</v>
      </c>
      <c r="O16" s="12" t="s">
        <v>110</v>
      </c>
      <c r="P16" s="13" t="s">
        <v>111</v>
      </c>
      <c r="R16" s="10" t="s">
        <v>76</v>
      </c>
      <c r="S16" s="10" t="s">
        <v>39</v>
      </c>
      <c r="T16" s="12" t="s">
        <v>18</v>
      </c>
      <c r="V16" s="25" t="s">
        <v>240</v>
      </c>
      <c r="W16" s="25" t="s">
        <v>44</v>
      </c>
      <c r="Y16" s="25" t="s">
        <v>59</v>
      </c>
      <c r="Z16" s="25" t="s">
        <v>280</v>
      </c>
    </row>
    <row r="17" spans="1:26" s="5" customFormat="1" ht="20.25" customHeight="1" x14ac:dyDescent="0.25">
      <c r="A17" s="6">
        <f t="shared" si="0"/>
        <v>16</v>
      </c>
      <c r="B17" s="10" t="s">
        <v>112</v>
      </c>
      <c r="C17" s="8" t="s">
        <v>113</v>
      </c>
      <c r="D17" s="9" t="s">
        <v>93</v>
      </c>
      <c r="I17" s="10">
        <v>592</v>
      </c>
      <c r="J17" s="10" t="s">
        <v>120</v>
      </c>
      <c r="K17" s="10" t="s">
        <v>121</v>
      </c>
      <c r="L17" s="10" t="s">
        <v>25</v>
      </c>
      <c r="M17" s="12" t="s">
        <v>14</v>
      </c>
      <c r="O17" s="12" t="s">
        <v>116</v>
      </c>
      <c r="P17" s="13" t="s">
        <v>117</v>
      </c>
      <c r="R17" s="10" t="s">
        <v>88</v>
      </c>
      <c r="S17" s="10" t="s">
        <v>25</v>
      </c>
      <c r="T17" s="12" t="s">
        <v>18</v>
      </c>
      <c r="V17" s="25" t="s">
        <v>91</v>
      </c>
      <c r="W17" s="25" t="s">
        <v>93</v>
      </c>
      <c r="Y17" s="25" t="s">
        <v>152</v>
      </c>
      <c r="Z17" s="25" t="s">
        <v>280</v>
      </c>
    </row>
    <row r="18" spans="1:26" s="5" customFormat="1" ht="20.25" customHeight="1" x14ac:dyDescent="0.25">
      <c r="A18" s="6">
        <f t="shared" si="0"/>
        <v>17</v>
      </c>
      <c r="B18" s="10" t="s">
        <v>118</v>
      </c>
      <c r="C18" s="8" t="s">
        <v>119</v>
      </c>
      <c r="D18" s="9" t="s">
        <v>93</v>
      </c>
      <c r="I18" s="10">
        <v>739</v>
      </c>
      <c r="J18" s="10" t="s">
        <v>126</v>
      </c>
      <c r="K18" s="10" t="s">
        <v>127</v>
      </c>
      <c r="L18" s="10" t="s">
        <v>63</v>
      </c>
      <c r="M18" s="12" t="s">
        <v>14</v>
      </c>
      <c r="O18" s="12" t="s">
        <v>122</v>
      </c>
      <c r="P18" s="13" t="s">
        <v>123</v>
      </c>
      <c r="R18" s="10" t="s">
        <v>133</v>
      </c>
      <c r="S18" s="10" t="s">
        <v>25</v>
      </c>
      <c r="T18" s="12" t="s">
        <v>18</v>
      </c>
      <c r="V18" s="25" t="s">
        <v>98</v>
      </c>
      <c r="W18" s="25" t="s">
        <v>93</v>
      </c>
      <c r="Y18" s="25" t="s">
        <v>162</v>
      </c>
      <c r="Z18" s="25" t="s">
        <v>280</v>
      </c>
    </row>
    <row r="19" spans="1:26" s="5" customFormat="1" ht="20.25" customHeight="1" x14ac:dyDescent="0.25">
      <c r="A19" s="6">
        <f t="shared" si="0"/>
        <v>18</v>
      </c>
      <c r="B19" s="10" t="s">
        <v>124</v>
      </c>
      <c r="C19" s="8" t="s">
        <v>125</v>
      </c>
      <c r="D19" s="9" t="s">
        <v>93</v>
      </c>
      <c r="I19" s="10">
        <v>540</v>
      </c>
      <c r="J19" s="10" t="s">
        <v>132</v>
      </c>
      <c r="K19" s="10" t="s">
        <v>133</v>
      </c>
      <c r="L19" s="10" t="s">
        <v>25</v>
      </c>
      <c r="M19" s="12" t="s">
        <v>18</v>
      </c>
      <c r="O19" s="12" t="s">
        <v>128</v>
      </c>
      <c r="P19" s="13" t="s">
        <v>129</v>
      </c>
      <c r="R19" s="10" t="s">
        <v>38</v>
      </c>
      <c r="S19" s="10" t="s">
        <v>39</v>
      </c>
      <c r="T19" s="12" t="s">
        <v>30</v>
      </c>
      <c r="V19" s="25" t="s">
        <v>104</v>
      </c>
      <c r="W19" s="25" t="s">
        <v>93</v>
      </c>
      <c r="Y19" s="25" t="s">
        <v>91</v>
      </c>
      <c r="Z19" s="25" t="s">
        <v>280</v>
      </c>
    </row>
    <row r="20" spans="1:26" s="5" customFormat="1" ht="20.25" customHeight="1" x14ac:dyDescent="0.25">
      <c r="A20" s="6">
        <f t="shared" si="0"/>
        <v>19</v>
      </c>
      <c r="B20" s="10" t="s">
        <v>130</v>
      </c>
      <c r="C20" s="8" t="s">
        <v>131</v>
      </c>
      <c r="D20" s="9" t="s">
        <v>93</v>
      </c>
      <c r="I20" s="10">
        <v>782</v>
      </c>
      <c r="J20" s="10" t="s">
        <v>143</v>
      </c>
      <c r="K20" s="10" t="s">
        <v>144</v>
      </c>
      <c r="L20" s="10" t="s">
        <v>63</v>
      </c>
      <c r="M20" s="12" t="s">
        <v>30</v>
      </c>
      <c r="O20" s="12" t="s">
        <v>134</v>
      </c>
      <c r="P20" s="13" t="s">
        <v>135</v>
      </c>
      <c r="R20" s="10" t="s">
        <v>95</v>
      </c>
      <c r="S20" s="10" t="s">
        <v>63</v>
      </c>
      <c r="T20" s="12" t="s">
        <v>14</v>
      </c>
      <c r="V20" s="25" t="s">
        <v>112</v>
      </c>
      <c r="W20" s="25" t="s">
        <v>93</v>
      </c>
      <c r="Y20" s="25" t="s">
        <v>98</v>
      </c>
      <c r="Z20" s="25" t="s">
        <v>280</v>
      </c>
    </row>
    <row r="21" spans="1:26" s="5" customFormat="1" ht="20.25" customHeight="1" x14ac:dyDescent="0.25">
      <c r="A21" s="6">
        <f t="shared" si="0"/>
        <v>20</v>
      </c>
      <c r="B21" s="10" t="s">
        <v>136</v>
      </c>
      <c r="C21" s="8" t="s">
        <v>137</v>
      </c>
      <c r="D21" s="9" t="s">
        <v>93</v>
      </c>
      <c r="I21" s="10">
        <v>877</v>
      </c>
      <c r="J21" s="10" t="s">
        <v>147</v>
      </c>
      <c r="K21" s="10" t="s">
        <v>148</v>
      </c>
      <c r="L21" s="10" t="s">
        <v>63</v>
      </c>
      <c r="M21" s="12" t="s">
        <v>30</v>
      </c>
      <c r="O21" s="12" t="s">
        <v>139</v>
      </c>
      <c r="P21" s="13" t="s">
        <v>140</v>
      </c>
      <c r="R21" s="10" t="s">
        <v>101</v>
      </c>
      <c r="S21" s="10" t="s">
        <v>25</v>
      </c>
      <c r="T21" s="12" t="s">
        <v>30</v>
      </c>
      <c r="V21" s="25" t="s">
        <v>118</v>
      </c>
      <c r="W21" s="25" t="s">
        <v>93</v>
      </c>
      <c r="Y21" s="25" t="s">
        <v>104</v>
      </c>
      <c r="Z21" s="25" t="s">
        <v>280</v>
      </c>
    </row>
    <row r="22" spans="1:26" s="5" customFormat="1" ht="20.25" customHeight="1" x14ac:dyDescent="0.25">
      <c r="A22" s="6">
        <f t="shared" si="0"/>
        <v>21</v>
      </c>
      <c r="B22" s="10" t="s">
        <v>141</v>
      </c>
      <c r="C22" s="8" t="s">
        <v>142</v>
      </c>
      <c r="D22" s="9" t="s">
        <v>93</v>
      </c>
      <c r="K22" s="14"/>
      <c r="P22" s="14"/>
      <c r="V22" s="25" t="s">
        <v>124</v>
      </c>
      <c r="W22" s="25" t="s">
        <v>93</v>
      </c>
      <c r="Y22" s="25" t="s">
        <v>124</v>
      </c>
      <c r="Z22" s="25" t="s">
        <v>280</v>
      </c>
    </row>
    <row r="23" spans="1:26" s="5" customFormat="1" ht="20.25" customHeight="1" x14ac:dyDescent="0.25">
      <c r="A23" s="6">
        <f t="shared" si="0"/>
        <v>22</v>
      </c>
      <c r="B23" s="10" t="s">
        <v>145</v>
      </c>
      <c r="C23" s="8" t="s">
        <v>146</v>
      </c>
      <c r="D23" s="9" t="s">
        <v>93</v>
      </c>
      <c r="I23" s="15"/>
      <c r="M23" s="5" t="s">
        <v>538</v>
      </c>
      <c r="V23" s="25" t="s">
        <v>130</v>
      </c>
      <c r="W23" s="25" t="s">
        <v>93</v>
      </c>
      <c r="Y23" s="25" t="s">
        <v>130</v>
      </c>
      <c r="Z23" s="25" t="s">
        <v>280</v>
      </c>
    </row>
    <row r="24" spans="1:26" s="5" customFormat="1" ht="20.25" customHeight="1" x14ac:dyDescent="0.25">
      <c r="A24" s="6">
        <f>A23+1</f>
        <v>23</v>
      </c>
      <c r="B24" s="10" t="s">
        <v>149</v>
      </c>
      <c r="C24" s="8" t="s">
        <v>150</v>
      </c>
      <c r="D24" s="9" t="s">
        <v>151</v>
      </c>
      <c r="F24" s="11" t="s">
        <v>268</v>
      </c>
      <c r="G24" s="11" t="s">
        <v>296</v>
      </c>
      <c r="H24" s="10">
        <v>1</v>
      </c>
      <c r="I24" s="10">
        <f ca="1">DAY(EOMONTH(J24,0))</f>
        <v>31</v>
      </c>
      <c r="J24" s="30">
        <f t="shared" ref="J24:J35" ca="1" si="1">DATE(YEAR(TODAY()),H24,1)</f>
        <v>44927</v>
      </c>
      <c r="M24" s="5" t="s">
        <v>14</v>
      </c>
      <c r="P24" s="14"/>
      <c r="R24" s="10" t="s">
        <v>255</v>
      </c>
      <c r="V24" s="25" t="s">
        <v>136</v>
      </c>
      <c r="W24" s="25" t="s">
        <v>93</v>
      </c>
      <c r="Y24" s="25" t="s">
        <v>136</v>
      </c>
      <c r="Z24" s="25" t="s">
        <v>280</v>
      </c>
    </row>
    <row r="25" spans="1:26" s="5" customFormat="1" ht="20.25" customHeight="1" x14ac:dyDescent="0.25">
      <c r="A25" s="6">
        <f t="shared" si="0"/>
        <v>24</v>
      </c>
      <c r="B25" s="10" t="s">
        <v>152</v>
      </c>
      <c r="C25" s="8" t="s">
        <v>153</v>
      </c>
      <c r="D25" s="9" t="s">
        <v>44</v>
      </c>
      <c r="F25" s="11" t="s">
        <v>284</v>
      </c>
      <c r="G25" s="11" t="s">
        <v>297</v>
      </c>
      <c r="H25" s="10">
        <v>2</v>
      </c>
      <c r="I25" s="10">
        <f t="shared" ref="I25:I35" ca="1" si="2">DAY(EOMONTH(J25,0))</f>
        <v>28</v>
      </c>
      <c r="J25" s="30">
        <f t="shared" ca="1" si="1"/>
        <v>44958</v>
      </c>
      <c r="M25" s="5" t="s">
        <v>18</v>
      </c>
      <c r="P25" s="14"/>
      <c r="R25" s="10" t="s">
        <v>256</v>
      </c>
      <c r="V25" s="25" t="s">
        <v>141</v>
      </c>
      <c r="W25" s="25" t="s">
        <v>93</v>
      </c>
      <c r="Y25" s="25" t="s">
        <v>145</v>
      </c>
      <c r="Z25" s="25" t="s">
        <v>280</v>
      </c>
    </row>
    <row r="26" spans="1:26" s="5" customFormat="1" ht="20.25" customHeight="1" x14ac:dyDescent="0.25">
      <c r="A26" s="6">
        <f t="shared" si="0"/>
        <v>25</v>
      </c>
      <c r="B26" s="10" t="s">
        <v>154</v>
      </c>
      <c r="C26" s="8" t="s">
        <v>155</v>
      </c>
      <c r="D26" s="9" t="s">
        <v>151</v>
      </c>
      <c r="F26" s="11" t="s">
        <v>285</v>
      </c>
      <c r="G26" s="11" t="s">
        <v>298</v>
      </c>
      <c r="H26" s="10">
        <v>3</v>
      </c>
      <c r="I26" s="10">
        <f t="shared" ca="1" si="2"/>
        <v>31</v>
      </c>
      <c r="J26" s="30">
        <f t="shared" ca="1" si="1"/>
        <v>44986</v>
      </c>
      <c r="M26" s="5" t="s">
        <v>30</v>
      </c>
      <c r="P26" s="14"/>
      <c r="R26" s="10" t="s">
        <v>257</v>
      </c>
      <c r="V26" s="25" t="s">
        <v>145</v>
      </c>
      <c r="W26" s="25" t="s">
        <v>93</v>
      </c>
      <c r="Y26" s="25" t="s">
        <v>149</v>
      </c>
      <c r="Z26" s="25" t="s">
        <v>280</v>
      </c>
    </row>
    <row r="27" spans="1:26" s="5" customFormat="1" ht="20.25" customHeight="1" x14ac:dyDescent="0.25">
      <c r="A27" s="6">
        <f t="shared" si="0"/>
        <v>26</v>
      </c>
      <c r="B27" s="10" t="s">
        <v>156</v>
      </c>
      <c r="C27" s="8" t="s">
        <v>157</v>
      </c>
      <c r="D27" s="9" t="s">
        <v>151</v>
      </c>
      <c r="F27" s="11" t="s">
        <v>286</v>
      </c>
      <c r="G27" s="11" t="s">
        <v>299</v>
      </c>
      <c r="H27" s="10">
        <v>4</v>
      </c>
      <c r="I27" s="10">
        <f t="shared" ca="1" si="2"/>
        <v>30</v>
      </c>
      <c r="J27" s="30">
        <f t="shared" ca="1" si="1"/>
        <v>45017</v>
      </c>
      <c r="P27" s="14"/>
      <c r="R27" s="10" t="s">
        <v>258</v>
      </c>
      <c r="V27" s="25" t="s">
        <v>149</v>
      </c>
      <c r="W27" s="25" t="s">
        <v>151</v>
      </c>
      <c r="Y27" s="25" t="s">
        <v>154</v>
      </c>
      <c r="Z27" s="25" t="s">
        <v>280</v>
      </c>
    </row>
    <row r="28" spans="1:26" s="5" customFormat="1" ht="20.25" customHeight="1" x14ac:dyDescent="0.25">
      <c r="A28" s="6">
        <f t="shared" si="0"/>
        <v>27</v>
      </c>
      <c r="B28" s="10" t="s">
        <v>158</v>
      </c>
      <c r="C28" s="8" t="s">
        <v>159</v>
      </c>
      <c r="D28" s="9" t="s">
        <v>151</v>
      </c>
      <c r="F28" s="11" t="s">
        <v>287</v>
      </c>
      <c r="G28" s="11" t="s">
        <v>300</v>
      </c>
      <c r="H28" s="10">
        <v>5</v>
      </c>
      <c r="I28" s="10">
        <f t="shared" ca="1" si="2"/>
        <v>31</v>
      </c>
      <c r="J28" s="30">
        <f t="shared" ca="1" si="1"/>
        <v>45047</v>
      </c>
      <c r="P28" s="14"/>
      <c r="V28" s="25" t="s">
        <v>154</v>
      </c>
      <c r="W28" s="25" t="s">
        <v>151</v>
      </c>
      <c r="Y28" s="25" t="s">
        <v>158</v>
      </c>
      <c r="Z28" s="25" t="s">
        <v>280</v>
      </c>
    </row>
    <row r="29" spans="1:26" s="5" customFormat="1" ht="20.25" customHeight="1" x14ac:dyDescent="0.25">
      <c r="A29" s="6">
        <f t="shared" si="0"/>
        <v>28</v>
      </c>
      <c r="B29" s="10" t="s">
        <v>160</v>
      </c>
      <c r="C29" s="8" t="s">
        <v>161</v>
      </c>
      <c r="D29" s="9" t="s">
        <v>151</v>
      </c>
      <c r="F29" s="11" t="s">
        <v>288</v>
      </c>
      <c r="G29" s="11" t="s">
        <v>301</v>
      </c>
      <c r="H29" s="10">
        <v>6</v>
      </c>
      <c r="I29" s="10">
        <f t="shared" ca="1" si="2"/>
        <v>30</v>
      </c>
      <c r="J29" s="30">
        <f t="shared" ca="1" si="1"/>
        <v>45078</v>
      </c>
      <c r="P29" s="14"/>
      <c r="V29" s="25" t="s">
        <v>156</v>
      </c>
      <c r="W29" s="25" t="s">
        <v>151</v>
      </c>
      <c r="Y29" s="25" t="s">
        <v>160</v>
      </c>
      <c r="Z29" s="25" t="s">
        <v>280</v>
      </c>
    </row>
    <row r="30" spans="1:26" s="5" customFormat="1" ht="20.25" customHeight="1" x14ac:dyDescent="0.25">
      <c r="A30" s="6">
        <f t="shared" si="0"/>
        <v>29</v>
      </c>
      <c r="B30" s="10" t="s">
        <v>162</v>
      </c>
      <c r="C30" s="8" t="s">
        <v>163</v>
      </c>
      <c r="D30" s="9" t="s">
        <v>44</v>
      </c>
      <c r="F30" s="11" t="s">
        <v>289</v>
      </c>
      <c r="G30" s="11" t="s">
        <v>302</v>
      </c>
      <c r="H30" s="10">
        <v>7</v>
      </c>
      <c r="I30" s="10">
        <f t="shared" ca="1" si="2"/>
        <v>31</v>
      </c>
      <c r="J30" s="30">
        <f t="shared" ca="1" si="1"/>
        <v>45108</v>
      </c>
      <c r="P30" s="14"/>
      <c r="V30" s="25" t="s">
        <v>158</v>
      </c>
      <c r="W30" s="25" t="s">
        <v>151</v>
      </c>
      <c r="Y30" s="25" t="s">
        <v>166</v>
      </c>
      <c r="Z30" s="25" t="s">
        <v>280</v>
      </c>
    </row>
    <row r="31" spans="1:26" s="5" customFormat="1" ht="20.25" customHeight="1" x14ac:dyDescent="0.25">
      <c r="A31" s="6">
        <f t="shared" si="0"/>
        <v>30</v>
      </c>
      <c r="B31" s="10" t="s">
        <v>164</v>
      </c>
      <c r="C31" s="8" t="s">
        <v>165</v>
      </c>
      <c r="D31" s="9" t="s">
        <v>151</v>
      </c>
      <c r="F31" s="11" t="s">
        <v>290</v>
      </c>
      <c r="G31" s="11" t="s">
        <v>303</v>
      </c>
      <c r="H31" s="10">
        <v>8</v>
      </c>
      <c r="I31" s="10">
        <f t="shared" ca="1" si="2"/>
        <v>31</v>
      </c>
      <c r="J31" s="30">
        <f t="shared" ca="1" si="1"/>
        <v>45139</v>
      </c>
      <c r="P31" s="14"/>
      <c r="V31" s="25" t="s">
        <v>160</v>
      </c>
      <c r="W31" s="25" t="s">
        <v>151</v>
      </c>
      <c r="Y31" s="25" t="s">
        <v>168</v>
      </c>
      <c r="Z31" s="25" t="s">
        <v>280</v>
      </c>
    </row>
    <row r="32" spans="1:26" s="5" customFormat="1" ht="20.25" customHeight="1" x14ac:dyDescent="0.25">
      <c r="A32" s="6">
        <f t="shared" si="0"/>
        <v>31</v>
      </c>
      <c r="B32" s="10" t="s">
        <v>166</v>
      </c>
      <c r="C32" s="8" t="s">
        <v>167</v>
      </c>
      <c r="D32" s="9" t="s">
        <v>151</v>
      </c>
      <c r="F32" s="11" t="s">
        <v>291</v>
      </c>
      <c r="G32" s="11" t="s">
        <v>304</v>
      </c>
      <c r="H32" s="10">
        <v>9</v>
      </c>
      <c r="I32" s="10">
        <f t="shared" ca="1" si="2"/>
        <v>30</v>
      </c>
      <c r="J32" s="30">
        <f t="shared" ca="1" si="1"/>
        <v>45170</v>
      </c>
      <c r="P32" s="14"/>
      <c r="V32" s="25" t="s">
        <v>166</v>
      </c>
      <c r="W32" s="25" t="s">
        <v>151</v>
      </c>
      <c r="Y32" s="25" t="s">
        <v>170</v>
      </c>
      <c r="Z32" s="25" t="s">
        <v>280</v>
      </c>
    </row>
    <row r="33" spans="1:26" s="5" customFormat="1" ht="20.25" customHeight="1" x14ac:dyDescent="0.25">
      <c r="A33" s="6">
        <f t="shared" si="0"/>
        <v>32</v>
      </c>
      <c r="B33" s="10" t="s">
        <v>168</v>
      </c>
      <c r="C33" s="8" t="s">
        <v>169</v>
      </c>
      <c r="D33" s="9" t="s">
        <v>151</v>
      </c>
      <c r="F33" s="11" t="s">
        <v>292</v>
      </c>
      <c r="G33" s="11" t="s">
        <v>305</v>
      </c>
      <c r="H33" s="10">
        <v>10</v>
      </c>
      <c r="I33" s="10">
        <f t="shared" ca="1" si="2"/>
        <v>31</v>
      </c>
      <c r="J33" s="30">
        <f t="shared" ca="1" si="1"/>
        <v>45200</v>
      </c>
      <c r="P33" s="14"/>
      <c r="V33" s="25" t="s">
        <v>168</v>
      </c>
      <c r="W33" s="25" t="s">
        <v>151</v>
      </c>
      <c r="Y33" s="25" t="s">
        <v>241</v>
      </c>
      <c r="Z33" s="25" t="s">
        <v>280</v>
      </c>
    </row>
    <row r="34" spans="1:26" s="5" customFormat="1" ht="20.25" customHeight="1" x14ac:dyDescent="0.25">
      <c r="A34" s="6">
        <f t="shared" si="0"/>
        <v>33</v>
      </c>
      <c r="B34" s="10" t="s">
        <v>170</v>
      </c>
      <c r="C34" s="8" t="s">
        <v>171</v>
      </c>
      <c r="D34" s="9" t="s">
        <v>151</v>
      </c>
      <c r="F34" s="11" t="s">
        <v>293</v>
      </c>
      <c r="G34" s="11" t="s">
        <v>306</v>
      </c>
      <c r="H34" s="10">
        <v>11</v>
      </c>
      <c r="I34" s="10">
        <f t="shared" ca="1" si="2"/>
        <v>30</v>
      </c>
      <c r="J34" s="30">
        <f t="shared" ca="1" si="1"/>
        <v>45231</v>
      </c>
      <c r="P34" s="14"/>
      <c r="V34" s="25" t="s">
        <v>170</v>
      </c>
      <c r="W34" s="25" t="s">
        <v>151</v>
      </c>
      <c r="Y34" s="25" t="s">
        <v>242</v>
      </c>
      <c r="Z34" s="25" t="s">
        <v>280</v>
      </c>
    </row>
    <row r="35" spans="1:26" s="5" customFormat="1" ht="20.25" customHeight="1" x14ac:dyDescent="0.25">
      <c r="A35" s="6">
        <f t="shared" si="0"/>
        <v>34</v>
      </c>
      <c r="B35" s="10" t="s">
        <v>172</v>
      </c>
      <c r="C35" s="8" t="s">
        <v>173</v>
      </c>
      <c r="D35" s="9" t="s">
        <v>174</v>
      </c>
      <c r="F35" s="11" t="s">
        <v>294</v>
      </c>
      <c r="G35" s="11" t="s">
        <v>307</v>
      </c>
      <c r="H35" s="10">
        <v>12</v>
      </c>
      <c r="I35" s="10">
        <f t="shared" ca="1" si="2"/>
        <v>31</v>
      </c>
      <c r="J35" s="30">
        <f t="shared" ca="1" si="1"/>
        <v>45261</v>
      </c>
      <c r="P35" s="14"/>
      <c r="V35" s="25" t="s">
        <v>172</v>
      </c>
      <c r="W35" s="25" t="s">
        <v>174</v>
      </c>
      <c r="Y35" s="25" t="s">
        <v>281</v>
      </c>
      <c r="Z35" s="25" t="s">
        <v>280</v>
      </c>
    </row>
    <row r="36" spans="1:26" s="5" customFormat="1" ht="20.25" customHeight="1" x14ac:dyDescent="0.25">
      <c r="A36" s="6">
        <f t="shared" si="0"/>
        <v>35</v>
      </c>
      <c r="B36" s="10" t="s">
        <v>175</v>
      </c>
      <c r="C36" s="8" t="s">
        <v>176</v>
      </c>
      <c r="D36" s="9" t="s">
        <v>174</v>
      </c>
      <c r="I36" s="15"/>
      <c r="P36" s="14"/>
      <c r="V36" s="25" t="s">
        <v>175</v>
      </c>
      <c r="W36" s="25" t="s">
        <v>174</v>
      </c>
      <c r="Y36" s="25" t="s">
        <v>141</v>
      </c>
      <c r="Z36" s="25" t="s">
        <v>282</v>
      </c>
    </row>
    <row r="37" spans="1:26" s="5" customFormat="1" ht="20.25" customHeight="1" x14ac:dyDescent="0.25">
      <c r="A37" s="6">
        <f t="shared" si="0"/>
        <v>36</v>
      </c>
      <c r="B37" s="10" t="s">
        <v>177</v>
      </c>
      <c r="C37" s="8" t="s">
        <v>178</v>
      </c>
      <c r="D37" s="9" t="s">
        <v>174</v>
      </c>
      <c r="I37" s="15"/>
      <c r="P37" s="14"/>
      <c r="V37" s="25" t="s">
        <v>177</v>
      </c>
      <c r="W37" s="25" t="s">
        <v>174</v>
      </c>
      <c r="Y37" s="25" t="s">
        <v>185</v>
      </c>
      <c r="Z37" s="25" t="s">
        <v>282</v>
      </c>
    </row>
    <row r="38" spans="1:26" s="5" customFormat="1" ht="20.25" customHeight="1" x14ac:dyDescent="0.25">
      <c r="A38" s="6">
        <f t="shared" si="0"/>
        <v>37</v>
      </c>
      <c r="B38" s="10" t="s">
        <v>179</v>
      </c>
      <c r="C38" s="8" t="s">
        <v>180</v>
      </c>
      <c r="D38" s="9" t="s">
        <v>174</v>
      </c>
      <c r="I38" s="15"/>
      <c r="K38" s="3" t="s">
        <v>559</v>
      </c>
      <c r="P38" s="14"/>
      <c r="V38" s="25" t="s">
        <v>179</v>
      </c>
      <c r="W38" s="25" t="s">
        <v>174</v>
      </c>
      <c r="Y38" s="25" t="s">
        <v>187</v>
      </c>
      <c r="Z38" s="25" t="s">
        <v>282</v>
      </c>
    </row>
    <row r="39" spans="1:26" s="5" customFormat="1" ht="20.25" customHeight="1" x14ac:dyDescent="0.25">
      <c r="A39" s="6">
        <f t="shared" si="0"/>
        <v>38</v>
      </c>
      <c r="B39" s="10" t="s">
        <v>181</v>
      </c>
      <c r="C39" s="8" t="s">
        <v>182</v>
      </c>
      <c r="D39" s="9" t="s">
        <v>174</v>
      </c>
      <c r="I39" s="15"/>
      <c r="K39" s="11">
        <v>1001</v>
      </c>
      <c r="P39" s="14"/>
      <c r="V39" s="25" t="s">
        <v>181</v>
      </c>
      <c r="W39" s="25" t="s">
        <v>174</v>
      </c>
    </row>
    <row r="40" spans="1:26" s="5" customFormat="1" ht="20.25" customHeight="1" x14ac:dyDescent="0.25">
      <c r="A40" s="6">
        <f t="shared" si="0"/>
        <v>39</v>
      </c>
      <c r="B40" s="10" t="s">
        <v>183</v>
      </c>
      <c r="C40" s="8" t="s">
        <v>184</v>
      </c>
      <c r="D40" s="9" t="s">
        <v>174</v>
      </c>
      <c r="I40" s="15"/>
      <c r="P40" s="14"/>
      <c r="V40" s="25" t="s">
        <v>183</v>
      </c>
      <c r="W40" s="25" t="s">
        <v>174</v>
      </c>
    </row>
    <row r="41" spans="1:26" s="5" customFormat="1" ht="20.25" customHeight="1" x14ac:dyDescent="0.25">
      <c r="A41" s="6">
        <f t="shared" si="0"/>
        <v>40</v>
      </c>
      <c r="B41" s="10" t="s">
        <v>185</v>
      </c>
      <c r="C41" s="8" t="s">
        <v>186</v>
      </c>
      <c r="D41" s="9" t="s">
        <v>174</v>
      </c>
      <c r="I41" s="15"/>
      <c r="P41" s="14"/>
      <c r="V41" s="25" t="s">
        <v>185</v>
      </c>
      <c r="W41" s="25" t="s">
        <v>174</v>
      </c>
    </row>
    <row r="42" spans="1:26" s="5" customFormat="1" ht="20.25" customHeight="1" x14ac:dyDescent="0.25">
      <c r="A42" s="6">
        <f>A41+1</f>
        <v>41</v>
      </c>
      <c r="B42" s="10" t="s">
        <v>187</v>
      </c>
      <c r="C42" s="8" t="s">
        <v>186</v>
      </c>
      <c r="D42" s="9" t="s">
        <v>174</v>
      </c>
      <c r="I42" s="15"/>
      <c r="P42" s="14"/>
      <c r="V42" s="25" t="s">
        <v>187</v>
      </c>
      <c r="W42" s="25" t="s">
        <v>174</v>
      </c>
    </row>
    <row r="43" spans="1:26" s="5" customFormat="1" ht="20.25" customHeight="1" x14ac:dyDescent="0.25">
      <c r="A43" s="6">
        <f t="shared" si="0"/>
        <v>42</v>
      </c>
      <c r="B43" s="10" t="s">
        <v>188</v>
      </c>
      <c r="C43" s="8" t="s">
        <v>189</v>
      </c>
      <c r="D43" s="9" t="s">
        <v>93</v>
      </c>
      <c r="I43" s="15"/>
      <c r="P43" s="14"/>
      <c r="V43" s="25" t="s">
        <v>241</v>
      </c>
      <c r="W43" s="25" t="s">
        <v>174</v>
      </c>
    </row>
    <row r="44" spans="1:26" s="5" customFormat="1" ht="20.25" customHeight="1" x14ac:dyDescent="0.25">
      <c r="A44" s="6">
        <f t="shared" si="0"/>
        <v>43</v>
      </c>
      <c r="B44" s="10" t="s">
        <v>190</v>
      </c>
      <c r="C44" s="8" t="s">
        <v>191</v>
      </c>
      <c r="D44" s="9" t="s">
        <v>93</v>
      </c>
      <c r="I44" s="15"/>
      <c r="P44" s="14"/>
      <c r="V44" s="25" t="s">
        <v>242</v>
      </c>
      <c r="W44" s="25" t="s">
        <v>174</v>
      </c>
    </row>
    <row r="45" spans="1:26" s="5" customFormat="1" ht="20.25" customHeight="1" x14ac:dyDescent="0.25">
      <c r="A45" s="6">
        <f t="shared" si="0"/>
        <v>44</v>
      </c>
      <c r="B45" s="10" t="s">
        <v>192</v>
      </c>
      <c r="C45" s="8" t="s">
        <v>193</v>
      </c>
      <c r="D45" s="9" t="s">
        <v>93</v>
      </c>
      <c r="I45" s="15"/>
      <c r="P45" s="14"/>
      <c r="V45" s="25" t="s">
        <v>243</v>
      </c>
      <c r="W45" s="25" t="s">
        <v>93</v>
      </c>
    </row>
    <row r="46" spans="1:26" s="5" customFormat="1" ht="20.25" customHeight="1" x14ac:dyDescent="0.25">
      <c r="A46" s="6">
        <f t="shared" si="0"/>
        <v>45</v>
      </c>
      <c r="B46" s="10" t="s">
        <v>194</v>
      </c>
      <c r="C46" s="8" t="s">
        <v>193</v>
      </c>
      <c r="D46" s="9" t="s">
        <v>93</v>
      </c>
      <c r="I46" s="15"/>
      <c r="P46" s="14"/>
      <c r="V46" s="25" t="s">
        <v>244</v>
      </c>
      <c r="W46" s="25" t="s">
        <v>93</v>
      </c>
    </row>
    <row r="47" spans="1:26" s="5" customFormat="1" ht="20.25" customHeight="1" x14ac:dyDescent="0.25">
      <c r="A47" s="6">
        <f t="shared" si="0"/>
        <v>46</v>
      </c>
      <c r="B47" s="10" t="s">
        <v>195</v>
      </c>
      <c r="C47" s="8" t="s">
        <v>196</v>
      </c>
      <c r="D47" s="9" t="s">
        <v>44</v>
      </c>
      <c r="I47" s="15"/>
      <c r="P47" s="14"/>
      <c r="V47" s="25" t="s">
        <v>245</v>
      </c>
      <c r="W47" s="25" t="s">
        <v>93</v>
      </c>
    </row>
    <row r="48" spans="1:26" s="5" customFormat="1" ht="20.25" customHeight="1" x14ac:dyDescent="0.25">
      <c r="A48" s="6">
        <f t="shared" si="0"/>
        <v>47</v>
      </c>
      <c r="B48" s="10" t="s">
        <v>197</v>
      </c>
      <c r="C48" s="8" t="s">
        <v>196</v>
      </c>
      <c r="D48" s="9" t="s">
        <v>44</v>
      </c>
      <c r="I48" s="15"/>
      <c r="P48" s="14"/>
      <c r="V48" s="25" t="s">
        <v>246</v>
      </c>
      <c r="W48" s="25" t="s">
        <v>151</v>
      </c>
    </row>
    <row r="49" spans="1:27" s="5" customFormat="1" ht="20.25" customHeight="1" x14ac:dyDescent="0.25">
      <c r="A49" s="6">
        <f t="shared" si="0"/>
        <v>48</v>
      </c>
      <c r="B49" s="10" t="s">
        <v>198</v>
      </c>
      <c r="C49" s="8" t="s">
        <v>199</v>
      </c>
      <c r="D49" s="9" t="s">
        <v>93</v>
      </c>
      <c r="I49" s="15"/>
      <c r="P49" s="14"/>
      <c r="V49" s="25" t="s">
        <v>247</v>
      </c>
      <c r="W49" s="25" t="s">
        <v>93</v>
      </c>
    </row>
    <row r="50" spans="1:27" s="5" customFormat="1" ht="20.25" customHeight="1" x14ac:dyDescent="0.25">
      <c r="A50" s="6">
        <f t="shared" si="0"/>
        <v>49</v>
      </c>
      <c r="B50" s="10" t="s">
        <v>200</v>
      </c>
      <c r="C50" s="8" t="s">
        <v>196</v>
      </c>
      <c r="D50" s="9" t="s">
        <v>93</v>
      </c>
      <c r="I50" s="15"/>
      <c r="P50" s="14"/>
      <c r="V50" s="25" t="s">
        <v>248</v>
      </c>
      <c r="W50" s="25" t="s">
        <v>174</v>
      </c>
      <c r="Z50" s="25" t="s">
        <v>250</v>
      </c>
      <c r="AA50" s="25" t="s">
        <v>250</v>
      </c>
    </row>
    <row r="51" spans="1:27" s="5" customFormat="1" ht="20.25" customHeight="1" x14ac:dyDescent="0.25">
      <c r="A51" s="6">
        <f t="shared" si="0"/>
        <v>50</v>
      </c>
      <c r="B51" s="10" t="s">
        <v>201</v>
      </c>
      <c r="C51" s="8" t="s">
        <v>196</v>
      </c>
      <c r="D51" s="9" t="s">
        <v>93</v>
      </c>
      <c r="I51" s="15"/>
      <c r="P51" s="14"/>
      <c r="V51" s="25" t="s">
        <v>249</v>
      </c>
      <c r="W51" s="25" t="s">
        <v>174</v>
      </c>
    </row>
    <row r="52" spans="1:27" s="5" customFormat="1" ht="20.25" customHeight="1" x14ac:dyDescent="0.25">
      <c r="A52" s="6">
        <f t="shared" si="0"/>
        <v>51</v>
      </c>
      <c r="B52" s="10" t="s">
        <v>202</v>
      </c>
      <c r="C52" s="8" t="s">
        <v>196</v>
      </c>
      <c r="D52" s="9" t="s">
        <v>93</v>
      </c>
      <c r="I52" s="15"/>
      <c r="P52" s="14"/>
      <c r="V52" s="25" t="s">
        <v>251</v>
      </c>
      <c r="W52" s="25" t="s">
        <v>252</v>
      </c>
    </row>
    <row r="53" spans="1:27" s="5" customFormat="1" ht="20.25" customHeight="1" x14ac:dyDescent="0.25">
      <c r="A53" s="6">
        <f t="shared" si="0"/>
        <v>52</v>
      </c>
      <c r="B53" s="10" t="s">
        <v>203</v>
      </c>
      <c r="C53" s="8" t="s">
        <v>196</v>
      </c>
      <c r="D53" s="9" t="s">
        <v>93</v>
      </c>
      <c r="I53" s="15"/>
      <c r="P53" s="14"/>
      <c r="V53" s="25" t="s">
        <v>253</v>
      </c>
      <c r="W53" s="25" t="s">
        <v>252</v>
      </c>
    </row>
    <row r="54" spans="1:27" s="5" customFormat="1" ht="20.25" customHeight="1" x14ac:dyDescent="0.25">
      <c r="A54" s="6">
        <f t="shared" si="0"/>
        <v>53</v>
      </c>
      <c r="B54" s="10" t="s">
        <v>204</v>
      </c>
      <c r="C54" s="8" t="s">
        <v>196</v>
      </c>
      <c r="D54" s="9" t="s">
        <v>93</v>
      </c>
      <c r="I54" s="15"/>
      <c r="P54" s="14"/>
      <c r="V54" s="25" t="s">
        <v>250</v>
      </c>
      <c r="W54" s="25" t="s">
        <v>250</v>
      </c>
    </row>
    <row r="55" spans="1:27" s="5" customFormat="1" ht="20.25" customHeight="1" x14ac:dyDescent="0.25">
      <c r="A55" s="6">
        <f t="shared" si="0"/>
        <v>54</v>
      </c>
      <c r="B55" s="10" t="s">
        <v>205</v>
      </c>
      <c r="C55" s="8" t="s">
        <v>206</v>
      </c>
      <c r="D55" s="9" t="s">
        <v>151</v>
      </c>
      <c r="I55" s="15"/>
      <c r="P55" s="14"/>
      <c r="V55" s="26"/>
      <c r="W55" s="26"/>
    </row>
    <row r="56" spans="1:27" s="5" customFormat="1" ht="20.25" customHeight="1" x14ac:dyDescent="0.25">
      <c r="A56" s="6">
        <f t="shared" si="0"/>
        <v>55</v>
      </c>
      <c r="B56" s="10" t="s">
        <v>207</v>
      </c>
      <c r="C56" s="8" t="s">
        <v>196</v>
      </c>
      <c r="D56" s="9" t="s">
        <v>151</v>
      </c>
      <c r="I56" s="15"/>
      <c r="P56" s="14"/>
      <c r="V56" s="26"/>
      <c r="W56" s="26"/>
    </row>
    <row r="57" spans="1:27" s="5" customFormat="1" ht="20.25" customHeight="1" x14ac:dyDescent="0.25">
      <c r="A57" s="6">
        <f t="shared" si="0"/>
        <v>56</v>
      </c>
      <c r="B57" s="10" t="s">
        <v>208</v>
      </c>
      <c r="C57" s="8" t="s">
        <v>196</v>
      </c>
      <c r="D57" s="9" t="s">
        <v>151</v>
      </c>
      <c r="I57" s="15"/>
      <c r="P57" s="14"/>
      <c r="V57" s="26"/>
      <c r="W57" s="26"/>
    </row>
    <row r="58" spans="1:27" s="5" customFormat="1" ht="20.25" customHeight="1" x14ac:dyDescent="0.25">
      <c r="A58" s="6">
        <f t="shared" si="0"/>
        <v>57</v>
      </c>
      <c r="B58" s="10" t="s">
        <v>209</v>
      </c>
      <c r="C58" s="8" t="s">
        <v>196</v>
      </c>
      <c r="D58" s="9" t="s">
        <v>151</v>
      </c>
      <c r="I58" s="15"/>
      <c r="P58" s="14"/>
      <c r="V58" s="26"/>
      <c r="W58" s="26"/>
    </row>
    <row r="59" spans="1:27" s="5" customFormat="1" ht="20.25" customHeight="1" x14ac:dyDescent="0.25">
      <c r="A59" s="6">
        <f t="shared" si="0"/>
        <v>58</v>
      </c>
      <c r="B59" s="10" t="s">
        <v>210</v>
      </c>
      <c r="C59" s="8" t="s">
        <v>196</v>
      </c>
      <c r="D59" s="9" t="s">
        <v>174</v>
      </c>
      <c r="I59" s="15"/>
      <c r="P59" s="14"/>
      <c r="V59" s="26"/>
      <c r="W59" s="26"/>
    </row>
    <row r="60" spans="1:27" s="5" customFormat="1" ht="20.25" customHeight="1" x14ac:dyDescent="0.25">
      <c r="A60" s="6">
        <f t="shared" si="0"/>
        <v>59</v>
      </c>
      <c r="B60" s="10" t="s">
        <v>211</v>
      </c>
      <c r="C60" s="8" t="s">
        <v>196</v>
      </c>
      <c r="D60" s="9" t="s">
        <v>174</v>
      </c>
      <c r="I60" s="15"/>
      <c r="P60" s="14"/>
      <c r="V60" s="26"/>
      <c r="W60" s="26"/>
    </row>
    <row r="61" spans="1:27" s="5" customFormat="1" ht="20.25" customHeight="1" x14ac:dyDescent="0.25">
      <c r="A61" s="6">
        <f t="shared" si="0"/>
        <v>60</v>
      </c>
      <c r="B61" s="10" t="s">
        <v>212</v>
      </c>
      <c r="C61" s="8" t="s">
        <v>196</v>
      </c>
      <c r="D61" s="9" t="s">
        <v>213</v>
      </c>
      <c r="I61" s="15"/>
      <c r="P61" s="14"/>
      <c r="V61" s="26"/>
      <c r="W61" s="26"/>
    </row>
    <row r="62" spans="1:27" s="5" customFormat="1" ht="20.25" customHeight="1" x14ac:dyDescent="0.25">
      <c r="A62" s="6">
        <f t="shared" si="0"/>
        <v>61</v>
      </c>
      <c r="B62" s="10" t="s">
        <v>214</v>
      </c>
      <c r="C62" s="8" t="s">
        <v>196</v>
      </c>
      <c r="D62" s="9" t="s">
        <v>213</v>
      </c>
      <c r="I62" s="15"/>
      <c r="P62" s="14"/>
      <c r="V62" s="26"/>
      <c r="W62" s="26"/>
    </row>
    <row r="63" spans="1:27" s="5" customFormat="1" ht="20.25" customHeight="1" x14ac:dyDescent="0.25">
      <c r="A63" s="6">
        <f t="shared" si="0"/>
        <v>62</v>
      </c>
      <c r="B63" s="10" t="s">
        <v>215</v>
      </c>
      <c r="C63" s="8" t="s">
        <v>196</v>
      </c>
      <c r="D63" s="9" t="s">
        <v>213</v>
      </c>
      <c r="I63" s="15"/>
      <c r="P63" s="14"/>
      <c r="V63" s="26"/>
      <c r="W63" s="26"/>
    </row>
    <row r="64" spans="1:27" s="5" customFormat="1" ht="20.25" customHeight="1" x14ac:dyDescent="0.25">
      <c r="A64" s="6">
        <f t="shared" si="0"/>
        <v>63</v>
      </c>
      <c r="B64" s="10" t="s">
        <v>216</v>
      </c>
      <c r="C64" s="8" t="s">
        <v>196</v>
      </c>
      <c r="D64" s="9" t="s">
        <v>213</v>
      </c>
      <c r="I64" s="15"/>
      <c r="P64" s="14"/>
      <c r="V64" s="26"/>
      <c r="W64" s="26"/>
    </row>
    <row r="65" spans="1:23" s="5" customFormat="1" ht="20.25" customHeight="1" x14ac:dyDescent="0.25">
      <c r="A65" s="16"/>
      <c r="B65" s="16"/>
      <c r="C65" s="17"/>
      <c r="D65" s="17"/>
      <c r="I65" s="15"/>
      <c r="P65" s="14"/>
      <c r="V65" s="26"/>
      <c r="W65" s="26"/>
    </row>
    <row r="66" spans="1:23" s="5" customFormat="1" ht="20.25" customHeight="1" x14ac:dyDescent="0.25">
      <c r="A66" s="16"/>
      <c r="B66" s="16"/>
      <c r="C66" s="17"/>
      <c r="D66" s="17"/>
      <c r="I66" s="15"/>
      <c r="P66" s="14"/>
      <c r="V66" s="26"/>
      <c r="W66" s="26"/>
    </row>
    <row r="67" spans="1:23" s="5" customFormat="1" ht="20.25" customHeight="1" x14ac:dyDescent="0.25">
      <c r="A67" s="16"/>
      <c r="B67" s="16"/>
      <c r="C67" s="17"/>
      <c r="D67" s="17"/>
      <c r="I67" s="15"/>
      <c r="P67" s="14"/>
      <c r="V67" s="26"/>
      <c r="W67" s="26"/>
    </row>
    <row r="68" spans="1:23" s="5" customFormat="1" ht="20.25" customHeight="1" x14ac:dyDescent="0.25">
      <c r="A68" s="16"/>
      <c r="B68" s="16"/>
      <c r="C68" s="17"/>
      <c r="D68" s="17"/>
      <c r="I68" s="15"/>
      <c r="P68" s="14"/>
      <c r="V68" s="26"/>
      <c r="W68" s="26"/>
    </row>
    <row r="69" spans="1:23" s="5" customFormat="1" ht="20.25" customHeight="1" x14ac:dyDescent="0.25">
      <c r="A69" s="16"/>
      <c r="B69" s="10" t="s">
        <v>195</v>
      </c>
      <c r="C69" s="17"/>
      <c r="D69" s="17"/>
      <c r="I69" s="15"/>
      <c r="P69" s="14"/>
      <c r="V69" s="26"/>
      <c r="W69" s="26"/>
    </row>
    <row r="70" spans="1:23" s="5" customFormat="1" ht="20.25" customHeight="1" x14ac:dyDescent="0.25">
      <c r="A70" s="16"/>
      <c r="B70" s="10" t="s">
        <v>197</v>
      </c>
      <c r="C70" s="17"/>
      <c r="D70" s="17"/>
      <c r="I70" s="15"/>
      <c r="P70" s="14"/>
      <c r="V70" s="26"/>
      <c r="W70" s="26"/>
    </row>
    <row r="71" spans="1:23" s="5" customFormat="1" ht="20.25" customHeight="1" x14ac:dyDescent="0.25">
      <c r="A71" s="16"/>
      <c r="B71" s="10" t="s">
        <v>198</v>
      </c>
      <c r="C71" s="17"/>
      <c r="D71" s="17"/>
      <c r="I71" s="15"/>
      <c r="P71" s="14"/>
      <c r="V71" s="26"/>
      <c r="W71" s="26"/>
    </row>
    <row r="72" spans="1:23" s="5" customFormat="1" ht="20.25" customHeight="1" x14ac:dyDescent="0.25">
      <c r="A72" s="16"/>
      <c r="B72" s="10" t="s">
        <v>200</v>
      </c>
      <c r="C72" s="17"/>
      <c r="D72" s="17"/>
      <c r="I72" s="15"/>
      <c r="P72" s="14"/>
      <c r="V72" s="26"/>
      <c r="W72" s="26"/>
    </row>
    <row r="73" spans="1:23" s="5" customFormat="1" ht="20.25" customHeight="1" x14ac:dyDescent="0.25">
      <c r="A73" s="16"/>
      <c r="B73" s="10" t="s">
        <v>201</v>
      </c>
      <c r="C73" s="17"/>
      <c r="D73" s="17"/>
      <c r="I73" s="15"/>
      <c r="P73" s="14"/>
      <c r="V73" s="26"/>
      <c r="W73" s="26"/>
    </row>
    <row r="74" spans="1:23" s="5" customFormat="1" ht="20.25" customHeight="1" x14ac:dyDescent="0.25">
      <c r="A74" s="16"/>
      <c r="B74" s="10" t="s">
        <v>202</v>
      </c>
      <c r="C74" s="17"/>
      <c r="D74" s="17"/>
      <c r="I74" s="15"/>
      <c r="P74" s="14"/>
      <c r="V74" s="26"/>
      <c r="W74" s="26"/>
    </row>
    <row r="75" spans="1:23" s="5" customFormat="1" ht="20.25" customHeight="1" x14ac:dyDescent="0.25">
      <c r="A75" s="16"/>
      <c r="B75" s="10" t="s">
        <v>203</v>
      </c>
      <c r="C75" s="17"/>
      <c r="D75" s="17"/>
      <c r="I75" s="15"/>
      <c r="P75" s="14"/>
      <c r="V75" s="26"/>
      <c r="W75" s="26"/>
    </row>
    <row r="76" spans="1:23" s="5" customFormat="1" ht="20.25" customHeight="1" x14ac:dyDescent="0.25">
      <c r="A76" s="16"/>
      <c r="B76" s="10" t="s">
        <v>204</v>
      </c>
      <c r="C76" s="17"/>
      <c r="D76" s="17"/>
      <c r="I76" s="15"/>
      <c r="P76" s="14"/>
      <c r="V76" s="26"/>
      <c r="W76" s="26"/>
    </row>
    <row r="77" spans="1:23" s="5" customFormat="1" ht="20.25" customHeight="1" x14ac:dyDescent="0.25">
      <c r="A77" s="16"/>
      <c r="B77" s="10" t="s">
        <v>205</v>
      </c>
      <c r="C77" s="17"/>
      <c r="D77" s="17"/>
      <c r="I77" s="15"/>
      <c r="P77" s="14"/>
      <c r="V77" s="26"/>
      <c r="W77" s="26"/>
    </row>
    <row r="78" spans="1:23" s="5" customFormat="1" ht="20.25" customHeight="1" x14ac:dyDescent="0.25">
      <c r="A78" s="16"/>
      <c r="B78" s="10" t="s">
        <v>207</v>
      </c>
      <c r="C78" s="17"/>
      <c r="D78" s="17"/>
      <c r="I78" s="15"/>
      <c r="P78" s="14"/>
      <c r="V78" s="26"/>
      <c r="W78" s="26"/>
    </row>
    <row r="79" spans="1:23" s="5" customFormat="1" ht="20.25" customHeight="1" x14ac:dyDescent="0.25">
      <c r="A79" s="16"/>
      <c r="B79" s="10" t="s">
        <v>208</v>
      </c>
      <c r="C79" s="17"/>
      <c r="D79" s="17"/>
      <c r="I79" s="15"/>
      <c r="P79" s="14"/>
      <c r="V79" s="26"/>
      <c r="W79" s="26"/>
    </row>
    <row r="80" spans="1:23" s="5" customFormat="1" ht="20.25" customHeight="1" x14ac:dyDescent="0.25">
      <c r="A80" s="16"/>
      <c r="B80" s="10" t="s">
        <v>209</v>
      </c>
      <c r="C80" s="17"/>
      <c r="D80" s="17"/>
      <c r="I80" s="15"/>
      <c r="P80" s="14"/>
      <c r="V80" s="26"/>
      <c r="W80" s="26"/>
    </row>
    <row r="81" spans="1:23" s="5" customFormat="1" ht="20.25" customHeight="1" x14ac:dyDescent="0.25">
      <c r="A81" s="16"/>
      <c r="B81" s="10" t="s">
        <v>210</v>
      </c>
      <c r="C81" s="17"/>
      <c r="D81" s="17"/>
      <c r="I81" s="15"/>
      <c r="P81" s="14"/>
      <c r="V81" s="26"/>
      <c r="W81" s="26"/>
    </row>
    <row r="82" spans="1:23" s="5" customFormat="1" ht="20.25" customHeight="1" x14ac:dyDescent="0.25">
      <c r="A82" s="16"/>
      <c r="B82" s="10" t="s">
        <v>211</v>
      </c>
      <c r="C82" s="17"/>
      <c r="D82" s="17"/>
      <c r="I82" s="15"/>
      <c r="P82" s="14"/>
      <c r="V82" s="26"/>
      <c r="W82" s="26"/>
    </row>
    <row r="83" spans="1:23" s="5" customFormat="1" ht="20.25" customHeight="1" x14ac:dyDescent="0.25">
      <c r="A83" s="16"/>
      <c r="B83" s="10" t="s">
        <v>212</v>
      </c>
      <c r="C83" s="17"/>
      <c r="D83" s="17"/>
      <c r="I83" s="15"/>
      <c r="P83" s="14"/>
      <c r="V83" s="26"/>
      <c r="W83" s="26"/>
    </row>
    <row r="84" spans="1:23" s="5" customFormat="1" ht="20.25" customHeight="1" x14ac:dyDescent="0.25">
      <c r="A84" s="16"/>
      <c r="B84" s="10" t="s">
        <v>214</v>
      </c>
      <c r="C84" s="17"/>
      <c r="D84" s="17"/>
      <c r="I84" s="15"/>
      <c r="P84" s="14"/>
      <c r="V84" s="26"/>
      <c r="W84" s="26"/>
    </row>
    <row r="85" spans="1:23" s="5" customFormat="1" ht="20.25" customHeight="1" x14ac:dyDescent="0.25">
      <c r="A85" s="16"/>
      <c r="B85" s="10" t="s">
        <v>215</v>
      </c>
      <c r="C85" s="17"/>
      <c r="D85" s="17"/>
      <c r="I85" s="15"/>
      <c r="P85" s="14"/>
      <c r="V85" s="26"/>
      <c r="W85" s="26"/>
    </row>
    <row r="86" spans="1:23" s="5" customFormat="1" ht="20.25" customHeight="1" x14ac:dyDescent="0.25">
      <c r="A86" s="16"/>
      <c r="B86" s="10" t="s">
        <v>216</v>
      </c>
      <c r="C86" s="17"/>
      <c r="D86" s="17"/>
      <c r="I86" s="15"/>
      <c r="P86" s="14"/>
      <c r="V86" s="26"/>
      <c r="W86" s="26"/>
    </row>
    <row r="87" spans="1:23" s="5" customFormat="1" ht="20.25" customHeight="1" x14ac:dyDescent="0.25">
      <c r="A87" s="16"/>
      <c r="B87" s="16"/>
      <c r="C87" s="17"/>
      <c r="D87" s="17"/>
      <c r="I87" s="15"/>
      <c r="P87" s="14"/>
      <c r="V87" s="26"/>
      <c r="W87" s="26"/>
    </row>
    <row r="88" spans="1:23" s="5" customFormat="1" ht="20.25" customHeight="1" x14ac:dyDescent="0.25">
      <c r="A88" s="16"/>
      <c r="B88" s="16"/>
      <c r="C88" s="17"/>
      <c r="D88" s="17"/>
      <c r="I88" s="15"/>
      <c r="P88" s="14"/>
      <c r="V88" s="26"/>
      <c r="W88" s="26"/>
    </row>
    <row r="89" spans="1:23" s="5" customFormat="1" ht="20.25" customHeight="1" x14ac:dyDescent="0.25">
      <c r="A89" s="16"/>
      <c r="B89" s="16"/>
      <c r="C89" s="17"/>
      <c r="D89" s="17"/>
      <c r="I89" s="15"/>
      <c r="P89" s="14"/>
      <c r="V89" s="26"/>
      <c r="W89" s="26"/>
    </row>
    <row r="90" spans="1:23" s="5" customFormat="1" ht="20.25" customHeight="1" x14ac:dyDescent="0.25">
      <c r="A90" s="16"/>
      <c r="B90" s="16"/>
      <c r="C90" s="17"/>
      <c r="D90" s="17"/>
      <c r="I90" s="15"/>
      <c r="P90" s="14"/>
      <c r="V90" s="26"/>
      <c r="W90" s="26"/>
    </row>
    <row r="91" spans="1:23" s="5" customFormat="1" ht="20.25" customHeight="1" x14ac:dyDescent="0.25">
      <c r="A91" s="16"/>
      <c r="B91" s="16"/>
      <c r="C91" s="17"/>
      <c r="D91" s="17"/>
      <c r="I91" s="15"/>
      <c r="P91" s="14"/>
      <c r="V91" s="26"/>
      <c r="W91" s="26"/>
    </row>
    <row r="92" spans="1:23" s="5" customFormat="1" ht="20.25" customHeight="1" x14ac:dyDescent="0.25">
      <c r="A92" s="16"/>
      <c r="B92" s="16"/>
      <c r="C92" s="17"/>
      <c r="D92" s="17"/>
      <c r="I92" s="15"/>
      <c r="P92" s="14"/>
      <c r="V92" s="26"/>
      <c r="W92" s="26"/>
    </row>
    <row r="93" spans="1:23" s="5" customFormat="1" ht="20.25" customHeight="1" x14ac:dyDescent="0.25">
      <c r="A93" s="16"/>
      <c r="B93" s="16"/>
      <c r="C93" s="17"/>
      <c r="D93" s="17"/>
      <c r="I93" s="15"/>
      <c r="P93" s="14"/>
      <c r="V93" s="26"/>
      <c r="W93" s="26"/>
    </row>
    <row r="94" spans="1:23" s="5" customFormat="1" ht="20.25" customHeight="1" x14ac:dyDescent="0.25">
      <c r="A94" s="16"/>
      <c r="B94" s="16"/>
      <c r="C94" s="17"/>
      <c r="D94" s="17"/>
      <c r="I94" s="15"/>
      <c r="P94" s="14"/>
      <c r="V94" s="26"/>
      <c r="W94" s="26"/>
    </row>
    <row r="95" spans="1:23" s="5" customFormat="1" ht="20.25" customHeight="1" x14ac:dyDescent="0.25">
      <c r="A95" s="16"/>
      <c r="B95" s="16"/>
      <c r="C95" s="17"/>
      <c r="D95" s="17"/>
      <c r="I95" s="15"/>
      <c r="P95" s="14"/>
      <c r="V95" s="26"/>
      <c r="W95" s="26"/>
    </row>
    <row r="96" spans="1:23" s="5" customFormat="1" ht="20.25" customHeight="1" x14ac:dyDescent="0.25">
      <c r="A96" s="16"/>
      <c r="B96" s="16"/>
      <c r="C96" s="17"/>
      <c r="D96" s="17"/>
      <c r="I96" s="15"/>
      <c r="P96" s="14"/>
      <c r="V96" s="26"/>
      <c r="W96" s="26"/>
    </row>
    <row r="97" spans="1:23" s="5" customFormat="1" ht="20.25" customHeight="1" x14ac:dyDescent="0.25">
      <c r="A97" s="16"/>
      <c r="B97" s="16"/>
      <c r="C97" s="17"/>
      <c r="D97" s="17"/>
      <c r="I97" s="15"/>
      <c r="P97" s="14"/>
      <c r="V97" s="26"/>
      <c r="W97" s="26"/>
    </row>
    <row r="98" spans="1:23" s="5" customFormat="1" ht="20.25" customHeight="1" x14ac:dyDescent="0.25">
      <c r="A98" s="16"/>
      <c r="B98" s="16"/>
      <c r="C98" s="17"/>
      <c r="D98" s="17"/>
      <c r="I98" s="15"/>
      <c r="P98" s="14"/>
      <c r="V98" s="26"/>
      <c r="W98" s="26"/>
    </row>
    <row r="99" spans="1:23" s="5" customFormat="1" ht="20.25" customHeight="1" x14ac:dyDescent="0.25">
      <c r="A99" s="16"/>
      <c r="B99" s="16"/>
      <c r="I99" s="15"/>
      <c r="P99" s="14"/>
      <c r="V99" s="26"/>
      <c r="W99" s="26"/>
    </row>
    <row r="100" spans="1:23" s="5" customFormat="1" ht="20.25" customHeight="1" x14ac:dyDescent="0.25">
      <c r="A100" s="16"/>
      <c r="B100" s="16"/>
      <c r="I100" s="15"/>
      <c r="P100" s="14"/>
      <c r="V100" s="26"/>
      <c r="W100" s="26"/>
    </row>
    <row r="101" spans="1:23" s="5" customFormat="1" ht="20.25" customHeight="1" x14ac:dyDescent="0.25">
      <c r="A101" s="16"/>
      <c r="B101" s="16"/>
      <c r="I101" s="15"/>
      <c r="P101" s="14"/>
      <c r="V101" s="26"/>
      <c r="W101" s="26"/>
    </row>
    <row r="102" spans="1:23" s="5" customFormat="1" ht="20.25" customHeight="1" x14ac:dyDescent="0.25">
      <c r="A102" s="16"/>
      <c r="B102" s="16"/>
      <c r="I102" s="15"/>
      <c r="P102" s="14"/>
      <c r="V102" s="26"/>
      <c r="W102" s="26"/>
    </row>
    <row r="103" spans="1:23" s="5" customFormat="1" ht="20.25" customHeight="1" x14ac:dyDescent="0.25">
      <c r="A103" s="16"/>
      <c r="B103" s="16"/>
      <c r="I103" s="15"/>
      <c r="P103" s="14"/>
      <c r="V103" s="26"/>
      <c r="W103" s="26"/>
    </row>
    <row r="104" spans="1:23" s="5" customFormat="1" ht="20.25" customHeight="1" x14ac:dyDescent="0.25">
      <c r="A104" s="16"/>
      <c r="B104" s="16"/>
      <c r="I104" s="15"/>
      <c r="P104" s="14"/>
      <c r="V104" s="26"/>
      <c r="W104" s="26"/>
    </row>
    <row r="105" spans="1:23" s="5" customFormat="1" ht="20.25" customHeight="1" x14ac:dyDescent="0.25">
      <c r="A105" s="16"/>
      <c r="B105" s="16"/>
      <c r="I105" s="15"/>
      <c r="P105" s="14"/>
      <c r="V105" s="26"/>
      <c r="W105" s="26"/>
    </row>
    <row r="106" spans="1:23" s="5" customFormat="1" ht="20.25" customHeight="1" x14ac:dyDescent="0.25">
      <c r="A106" s="16"/>
      <c r="B106" s="16"/>
      <c r="I106" s="15"/>
      <c r="P106" s="14"/>
      <c r="V106" s="26"/>
      <c r="W106" s="26"/>
    </row>
    <row r="107" spans="1:23" s="5" customFormat="1" ht="20.25" customHeight="1" x14ac:dyDescent="0.25">
      <c r="A107" s="16"/>
      <c r="B107" s="16"/>
      <c r="I107" s="15"/>
      <c r="P107" s="14"/>
      <c r="V107" s="26"/>
      <c r="W107" s="26"/>
    </row>
    <row r="108" spans="1:23" s="5" customFormat="1" ht="20.25" customHeight="1" x14ac:dyDescent="0.25">
      <c r="A108" s="16"/>
      <c r="B108" s="16"/>
      <c r="I108" s="15"/>
      <c r="P108" s="14"/>
      <c r="V108" s="26"/>
      <c r="W108" s="26"/>
    </row>
    <row r="109" spans="1:23" s="5" customFormat="1" ht="20.25" customHeight="1" x14ac:dyDescent="0.25">
      <c r="A109" s="16"/>
      <c r="B109" s="16"/>
      <c r="I109" s="15"/>
      <c r="P109" s="14"/>
      <c r="V109" s="26"/>
      <c r="W109" s="26"/>
    </row>
    <row r="110" spans="1:23" s="5" customFormat="1" ht="20.25" customHeight="1" x14ac:dyDescent="0.25">
      <c r="A110" s="16"/>
      <c r="B110" s="16"/>
      <c r="I110" s="15"/>
      <c r="P110" s="14"/>
      <c r="V110" s="26"/>
      <c r="W110" s="26"/>
    </row>
    <row r="111" spans="1:23" s="5" customFormat="1" ht="20.25" customHeight="1" x14ac:dyDescent="0.25">
      <c r="A111" s="16"/>
      <c r="B111" s="16"/>
      <c r="I111" s="15"/>
      <c r="P111" s="14"/>
      <c r="V111" s="26"/>
      <c r="W111" s="26"/>
    </row>
    <row r="112" spans="1:23" s="5" customFormat="1" ht="20.25" customHeight="1" x14ac:dyDescent="0.25">
      <c r="A112" s="16"/>
      <c r="B112" s="16"/>
      <c r="I112" s="15"/>
      <c r="P112" s="14"/>
      <c r="V112" s="26"/>
      <c r="W112" s="26"/>
    </row>
    <row r="113" spans="1:23" s="5" customFormat="1" ht="20.25" customHeight="1" x14ac:dyDescent="0.25">
      <c r="A113" s="16"/>
      <c r="B113" s="16"/>
      <c r="I113" s="15"/>
      <c r="P113" s="14"/>
      <c r="V113" s="26"/>
      <c r="W113" s="26"/>
    </row>
    <row r="114" spans="1:23" s="5" customFormat="1" ht="20.25" customHeight="1" x14ac:dyDescent="0.25">
      <c r="A114" s="16"/>
      <c r="B114" s="16"/>
      <c r="I114" s="15"/>
      <c r="P114" s="14"/>
      <c r="V114" s="26"/>
      <c r="W114" s="26"/>
    </row>
    <row r="115" spans="1:23" s="5" customFormat="1" ht="20.25" customHeight="1" x14ac:dyDescent="0.25">
      <c r="A115" s="16"/>
      <c r="B115" s="16"/>
      <c r="I115" s="15"/>
      <c r="P115" s="14"/>
      <c r="V115" s="26"/>
      <c r="W115" s="26"/>
    </row>
    <row r="116" spans="1:23" s="5" customFormat="1" ht="20.25" customHeight="1" x14ac:dyDescent="0.25">
      <c r="A116" s="16"/>
      <c r="B116" s="16"/>
      <c r="I116" s="15"/>
      <c r="P116" s="14"/>
      <c r="V116" s="26"/>
      <c r="W116" s="26"/>
    </row>
    <row r="117" spans="1:23" s="5" customFormat="1" ht="20.25" customHeight="1" x14ac:dyDescent="0.25">
      <c r="A117" s="16"/>
      <c r="B117" s="16"/>
      <c r="I117" s="15"/>
      <c r="P117" s="14"/>
      <c r="V117" s="26"/>
      <c r="W117" s="26"/>
    </row>
    <row r="118" spans="1:23" s="5" customFormat="1" ht="20.25" customHeight="1" x14ac:dyDescent="0.25">
      <c r="A118" s="16"/>
      <c r="B118" s="16"/>
      <c r="I118" s="15"/>
      <c r="P118" s="14"/>
      <c r="V118" s="26"/>
      <c r="W118" s="26"/>
    </row>
    <row r="119" spans="1:23" s="5" customFormat="1" ht="20.25" customHeight="1" x14ac:dyDescent="0.25">
      <c r="A119" s="16"/>
      <c r="B119" s="16"/>
      <c r="I119" s="15"/>
      <c r="P119" s="14"/>
      <c r="V119" s="26"/>
      <c r="W119" s="26"/>
    </row>
    <row r="120" spans="1:23" s="5" customFormat="1" ht="20.25" customHeight="1" x14ac:dyDescent="0.25">
      <c r="A120" s="16"/>
      <c r="B120" s="16"/>
      <c r="C120" s="17"/>
      <c r="D120" s="17"/>
      <c r="I120" s="15"/>
      <c r="P120" s="14"/>
      <c r="V120" s="26"/>
      <c r="W120" s="26"/>
    </row>
    <row r="121" spans="1:23" s="5" customFormat="1" ht="20.25" customHeight="1" x14ac:dyDescent="0.25">
      <c r="A121" s="16"/>
      <c r="B121" s="16"/>
      <c r="C121" s="17"/>
      <c r="D121" s="17"/>
      <c r="I121" s="15"/>
      <c r="P121" s="14"/>
      <c r="V121" s="26"/>
      <c r="W121" s="26"/>
    </row>
    <row r="122" spans="1:23" s="5" customFormat="1" ht="20.25" customHeight="1" x14ac:dyDescent="0.25">
      <c r="A122" s="16"/>
      <c r="B122" s="16"/>
      <c r="C122" s="17"/>
      <c r="D122" s="17"/>
      <c r="I122"/>
      <c r="J122"/>
      <c r="K122"/>
      <c r="L122"/>
      <c r="M122"/>
      <c r="P122" s="14"/>
      <c r="V122" s="26"/>
      <c r="W122" s="26"/>
    </row>
    <row r="123" spans="1:23" s="5" customFormat="1" ht="20.25" customHeight="1" x14ac:dyDescent="0.25">
      <c r="A123" s="16"/>
      <c r="B123" s="16"/>
      <c r="C123" s="17"/>
      <c r="D123" s="17"/>
      <c r="I123"/>
      <c r="J123"/>
      <c r="K123"/>
      <c r="L123"/>
      <c r="M123"/>
      <c r="P123" s="14"/>
      <c r="V123" s="26"/>
      <c r="W123" s="26"/>
    </row>
  </sheetData>
  <protectedRanges>
    <protectedRange sqref="B2:D42" name="Dados"/>
  </protectedRanges>
  <mergeCells count="1">
    <mergeCell ref="O1:P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258"/>
  <sheetViews>
    <sheetView showGridLines="0" tabSelected="1" zoomScale="70" zoomScaleNormal="70" workbookViewId="0">
      <selection activeCell="G267" sqref="G266:G267"/>
    </sheetView>
  </sheetViews>
  <sheetFormatPr defaultRowHeight="15" x14ac:dyDescent="0.25"/>
  <cols>
    <col min="1" max="1" width="12.85546875" bestFit="1" customWidth="1"/>
    <col min="2" max="2" width="12.140625" bestFit="1" customWidth="1"/>
    <col min="3" max="6" width="14" bestFit="1" customWidth="1"/>
    <col min="7" max="9" width="15.85546875" bestFit="1" customWidth="1"/>
    <col min="10" max="10" width="17.140625" bestFit="1" customWidth="1"/>
    <col min="11" max="11" width="13.42578125" bestFit="1" customWidth="1"/>
    <col min="12" max="12" width="33" bestFit="1" customWidth="1"/>
    <col min="13" max="13" width="16.28515625" bestFit="1" customWidth="1"/>
    <col min="14" max="14" width="18.28515625" customWidth="1"/>
    <col min="15" max="15" width="20.28515625" bestFit="1" customWidth="1"/>
    <col min="16" max="16" width="17.85546875" bestFit="1" customWidth="1"/>
    <col min="17" max="17" width="86" style="46" customWidth="1"/>
    <col min="18" max="18" width="17.85546875" bestFit="1" customWidth="1"/>
    <col min="19" max="20" width="37.42578125" bestFit="1" customWidth="1"/>
  </cols>
  <sheetData>
    <row r="1" spans="1:24" s="18" customFormat="1" ht="21.75" customHeight="1" x14ac:dyDescent="0.25">
      <c r="A1" s="19" t="s">
        <v>221</v>
      </c>
      <c r="B1" s="20" t="s">
        <v>222</v>
      </c>
      <c r="C1" s="20" t="s">
        <v>236</v>
      </c>
      <c r="D1" s="20" t="s">
        <v>237</v>
      </c>
      <c r="E1" s="20" t="s">
        <v>238</v>
      </c>
      <c r="F1" s="20" t="s">
        <v>239</v>
      </c>
      <c r="G1" s="19" t="s">
        <v>223</v>
      </c>
      <c r="H1" s="19" t="s">
        <v>224</v>
      </c>
      <c r="I1" s="19" t="s">
        <v>225</v>
      </c>
      <c r="J1" s="19" t="s">
        <v>550</v>
      </c>
      <c r="K1" s="19" t="s">
        <v>226</v>
      </c>
      <c r="L1" s="19" t="s">
        <v>227</v>
      </c>
      <c r="M1" s="19" t="s">
        <v>228</v>
      </c>
      <c r="N1" s="37" t="s">
        <v>557</v>
      </c>
      <c r="O1" s="19" t="s">
        <v>229</v>
      </c>
      <c r="P1" s="19" t="s">
        <v>230</v>
      </c>
      <c r="Q1" s="44" t="s">
        <v>232</v>
      </c>
      <c r="R1" s="19" t="s">
        <v>231</v>
      </c>
      <c r="S1" s="19" t="s">
        <v>233</v>
      </c>
      <c r="T1" s="19" t="s">
        <v>235</v>
      </c>
      <c r="U1" s="19" t="s">
        <v>234</v>
      </c>
      <c r="V1" s="37" t="s">
        <v>534</v>
      </c>
      <c r="W1" s="37" t="s">
        <v>535</v>
      </c>
      <c r="X1" s="37" t="s">
        <v>536</v>
      </c>
    </row>
    <row r="2" spans="1:24" s="18" customFormat="1" hidden="1" x14ac:dyDescent="0.25">
      <c r="A2" s="22">
        <v>12140</v>
      </c>
      <c r="B2" s="21">
        <v>44866</v>
      </c>
      <c r="C2" s="23">
        <v>877</v>
      </c>
      <c r="D2" s="24"/>
      <c r="E2" s="24"/>
      <c r="F2" s="24"/>
      <c r="G2" s="18" t="str">
        <f>IFERROR(VLOOKUP(Tabela1[[#This Row],[Mat. 1]],'Base de Dados'!$I$5:$J$21,2,0),"")</f>
        <v>RONALDO</v>
      </c>
      <c r="H2" s="18" t="str">
        <f>IFERROR(VLOOKUP(Tabela1[[#This Row],[Mat. 2]],'Base de Dados'!$I$5:$J$21,2,0),"")</f>
        <v/>
      </c>
      <c r="I2" s="18" t="str">
        <f>IFERROR(VLOOKUP(Tabela1[[#This Row],[Mat. 3]],'Base de Dados'!$I$5:$J$21,2,0),"")</f>
        <v/>
      </c>
      <c r="J2" s="18" t="str">
        <f>IFERROR(VLOOKUP(Tabela1[[#This Row],[Mat. 4]],'Base de Dados'!$I$5:$J$21,2,0),"")</f>
        <v/>
      </c>
      <c r="K2" s="18" t="str">
        <f>IFERROR(VLOOKUP(Tabela1[[#This Row],[Mat. 1]],'Base de Dados'!$I$2:$M$21,5,0),"")</f>
        <v>3º</v>
      </c>
      <c r="L2" s="18" t="s">
        <v>118</v>
      </c>
      <c r="M2" s="18" t="s">
        <v>313</v>
      </c>
      <c r="N2" s="18" t="s">
        <v>558</v>
      </c>
      <c r="O2" s="18">
        <v>46</v>
      </c>
      <c r="P2" s="18">
        <v>0</v>
      </c>
      <c r="Q2" s="45" t="s">
        <v>314</v>
      </c>
      <c r="R2" s="18" t="s">
        <v>34</v>
      </c>
      <c r="S2" s="18" t="str">
        <f>IFERROR(VLOOKUP(Tabela1[[#This Row],[Cód. Causa]],'Base de Dados'!$O$2:$P$21,2,0),"")</f>
        <v>FALHA EM COMPONENTES ELETRONICO</v>
      </c>
      <c r="T2" s="18" t="str">
        <f>IFERROR(VLOOKUP(Tabela1[[#This Row],[Tag]],'Base de Dados'!$B$2:$C$64,2,0),"")</f>
        <v>FORNO DO TETO</v>
      </c>
      <c r="U2" s="18" t="str">
        <f>IFERROR(VLOOKUP(Tabela1[[#This Row],[Tag]],'Base de Dados'!V2:W54,2,0),"")</f>
        <v>UTE-03</v>
      </c>
      <c r="V2" s="18">
        <f>DAY(Tabela1[[#This Row],[Data]])</f>
        <v>1</v>
      </c>
      <c r="W2" s="18">
        <f>MONTH(Tabela1[[#This Row],[Data]])</f>
        <v>11</v>
      </c>
      <c r="X2" s="18">
        <f>YEAR(Tabela1[[#This Row],[Data]])</f>
        <v>2022</v>
      </c>
    </row>
    <row r="3" spans="1:24" hidden="1" x14ac:dyDescent="0.25">
      <c r="A3" s="22">
        <v>12141</v>
      </c>
      <c r="B3" s="21">
        <v>44866</v>
      </c>
      <c r="C3" s="23">
        <v>739</v>
      </c>
      <c r="D3" s="24"/>
      <c r="E3" s="24"/>
      <c r="F3" s="24"/>
      <c r="G3" s="18" t="str">
        <f>IFERROR(VLOOKUP(Tabela1[[#This Row],[Mat. 1]],'Base de Dados'!$I$5:$J$21,2,0),"")</f>
        <v>DANILLO</v>
      </c>
      <c r="H3" s="18" t="str">
        <f>IFERROR(VLOOKUP(Tabela1[[#This Row],[Mat. 2]],'Base de Dados'!$I$5:$J$21,2,0),"")</f>
        <v/>
      </c>
      <c r="I3" s="18" t="str">
        <f>IFERROR(VLOOKUP(Tabela1[[#This Row],[Mat. 3]],'Base de Dados'!$I$5:$J$21,2,0),"")</f>
        <v/>
      </c>
      <c r="J3" s="18" t="str">
        <f>IFERROR(VLOOKUP(Tabela1[[#This Row],[Mat. 4]],'Base de Dados'!$I$5:$J$21,2,0),"")</f>
        <v/>
      </c>
      <c r="K3" s="18" t="str">
        <f>IFERROR(VLOOKUP(Tabela1[[#This Row],[Mat. 1]],'Base de Dados'!$I$2:$M$21,5,0),"")</f>
        <v>1º</v>
      </c>
      <c r="L3" s="18" t="s">
        <v>112</v>
      </c>
      <c r="M3" s="18" t="s">
        <v>313</v>
      </c>
      <c r="N3" s="18" t="s">
        <v>558</v>
      </c>
      <c r="O3" s="18">
        <v>35</v>
      </c>
      <c r="P3" s="18">
        <v>0</v>
      </c>
      <c r="Q3" s="45" t="s">
        <v>315</v>
      </c>
      <c r="R3" s="18" t="s">
        <v>34</v>
      </c>
      <c r="S3" s="18" t="str">
        <f>IFERROR(VLOOKUP(Tabela1[[#This Row],[Cód. Causa]],'Base de Dados'!$O$2:$P$21,2,0),"")</f>
        <v>FALHA EM COMPONENTES ELETRONICO</v>
      </c>
      <c r="T3" s="18" t="str">
        <f>IFERROR(VLOOKUP(Tabela1[[#This Row],[Tag]],'Base de Dados'!$B$2:$C$64,2,0),"")</f>
        <v>ROBÔ ABB APLIC. COLA DO TETO</v>
      </c>
      <c r="U3" s="18" t="str">
        <f>IFERROR(VLOOKUP(Tabela1[[#This Row],[Tag]],'Base de Dados'!V3:W55,2,0),"")</f>
        <v>UTE-03</v>
      </c>
      <c r="V3" s="18">
        <f>DAY(Tabela1[[#This Row],[Data]])</f>
        <v>1</v>
      </c>
      <c r="W3" s="18">
        <f>MONTH(Tabela1[[#This Row],[Data]])</f>
        <v>11</v>
      </c>
      <c r="X3" s="18">
        <f>YEAR(Tabela1[[#This Row],[Data]])</f>
        <v>2022</v>
      </c>
    </row>
    <row r="4" spans="1:24" hidden="1" x14ac:dyDescent="0.25">
      <c r="A4" s="22">
        <v>12150</v>
      </c>
      <c r="B4" s="21">
        <v>44866</v>
      </c>
      <c r="C4" s="23">
        <v>185</v>
      </c>
      <c r="D4" s="24"/>
      <c r="E4" s="24"/>
      <c r="F4" s="24"/>
      <c r="G4" s="18" t="str">
        <f>IFERROR(VLOOKUP(Tabela1[[#This Row],[Mat. 1]],'Base de Dados'!$I$5:$J$21,2,0),"")</f>
        <v>FELIPE</v>
      </c>
      <c r="H4" s="18" t="str">
        <f>IFERROR(VLOOKUP(Tabela1[[#This Row],[Mat. 2]],'Base de Dados'!$I$5:$J$21,2,0),"")</f>
        <v/>
      </c>
      <c r="I4" s="18" t="str">
        <f>IFERROR(VLOOKUP(Tabela1[[#This Row],[Mat. 3]],'Base de Dados'!$I$5:$J$21,2,0),"")</f>
        <v/>
      </c>
      <c r="J4" s="18" t="str">
        <f>IFERROR(VLOOKUP(Tabela1[[#This Row],[Mat. 4]],'Base de Dados'!$I$5:$J$21,2,0),"")</f>
        <v/>
      </c>
      <c r="K4" s="18" t="str">
        <f>IFERROR(VLOOKUP(Tabela1[[#This Row],[Mat. 1]],'Base de Dados'!$I$2:$M$21,5,0),"")</f>
        <v>1º</v>
      </c>
      <c r="L4" s="18" t="s">
        <v>112</v>
      </c>
      <c r="M4" s="18" t="s">
        <v>316</v>
      </c>
      <c r="N4" s="18" t="s">
        <v>558</v>
      </c>
      <c r="O4" s="18">
        <v>0</v>
      </c>
      <c r="P4" s="18"/>
      <c r="Q4" s="45" t="s">
        <v>317</v>
      </c>
      <c r="R4" s="18" t="s">
        <v>116</v>
      </c>
      <c r="S4" s="18" t="str">
        <f>IFERROR(VLOOKUP(Tabela1[[#This Row],[Cód. Causa]],'Base de Dados'!$O$2:$P$21,2,0),"")</f>
        <v xml:space="preserve">EQUIPAMENTO TRABALHANDO COM CARGA EXCESSIVA </v>
      </c>
      <c r="T4" s="18" t="str">
        <f>IFERROR(VLOOKUP(Tabela1[[#This Row],[Tag]],'Base de Dados'!$B$2:$C$64,2,0),"")</f>
        <v>ROBÔ ABB APLIC. COLA DO TETO</v>
      </c>
      <c r="U4" s="18" t="str">
        <f>IFERROR(VLOOKUP(Tabela1[[#This Row],[Tag]],'Base de Dados'!V4:W56,2,0),"")</f>
        <v>UTE-03</v>
      </c>
      <c r="V4" s="18">
        <f>DAY(Tabela1[[#This Row],[Data]])</f>
        <v>1</v>
      </c>
      <c r="W4" s="18">
        <f>MONTH(Tabela1[[#This Row],[Data]])</f>
        <v>11</v>
      </c>
      <c r="X4" s="18">
        <f>YEAR(Tabela1[[#This Row],[Data]])</f>
        <v>2022</v>
      </c>
    </row>
    <row r="5" spans="1:24" hidden="1" x14ac:dyDescent="0.25">
      <c r="A5" s="22">
        <v>12150</v>
      </c>
      <c r="B5" s="21">
        <v>44866</v>
      </c>
      <c r="C5" s="23">
        <v>185</v>
      </c>
      <c r="D5" s="24"/>
      <c r="E5" s="24"/>
      <c r="F5" s="24"/>
      <c r="G5" s="18" t="str">
        <f>IFERROR(VLOOKUP(Tabela1[[#This Row],[Mat. 1]],'Base de Dados'!$I$5:$J$21,2,0),"")</f>
        <v>FELIPE</v>
      </c>
      <c r="H5" s="18" t="str">
        <f>IFERROR(VLOOKUP(Tabela1[[#This Row],[Mat. 2]],'Base de Dados'!$I$5:$J$21,2,0),"")</f>
        <v/>
      </c>
      <c r="I5" s="18" t="str">
        <f>IFERROR(VLOOKUP(Tabela1[[#This Row],[Mat. 3]],'Base de Dados'!$I$5:$J$21,2,0),"")</f>
        <v/>
      </c>
      <c r="J5" s="18" t="str">
        <f>IFERROR(VLOOKUP(Tabela1[[#This Row],[Mat. 4]],'Base de Dados'!$I$5:$J$21,2,0),"")</f>
        <v/>
      </c>
      <c r="K5" s="18" t="str">
        <f>IFERROR(VLOOKUP(Tabela1[[#This Row],[Mat. 1]],'Base de Dados'!$I$2:$M$21,5,0),"")</f>
        <v>1º</v>
      </c>
      <c r="L5" s="18" t="s">
        <v>112</v>
      </c>
      <c r="M5" s="18" t="s">
        <v>316</v>
      </c>
      <c r="N5" s="18" t="s">
        <v>558</v>
      </c>
      <c r="O5" s="18">
        <v>240</v>
      </c>
      <c r="P5" s="18">
        <v>0</v>
      </c>
      <c r="Q5" s="45" t="s">
        <v>318</v>
      </c>
      <c r="R5" s="18" t="s">
        <v>116</v>
      </c>
      <c r="S5" s="18" t="str">
        <f>IFERROR(VLOOKUP(Tabela1[[#This Row],[Cód. Causa]],'Base de Dados'!$O$2:$P$21,2,0),"")</f>
        <v xml:space="preserve">EQUIPAMENTO TRABALHANDO COM CARGA EXCESSIVA </v>
      </c>
      <c r="T5" s="18" t="str">
        <f>IFERROR(VLOOKUP(Tabela1[[#This Row],[Tag]],'Base de Dados'!$B$2:$C$64,2,0),"")</f>
        <v>ROBÔ ABB APLIC. COLA DO TETO</v>
      </c>
      <c r="U5" s="18" t="str">
        <f>IFERROR(VLOOKUP(Tabela1[[#This Row],[Tag]],'Base de Dados'!V5:W57,2,0),"")</f>
        <v>UTE-03</v>
      </c>
      <c r="V5" s="18">
        <f>DAY(Tabela1[[#This Row],[Data]])</f>
        <v>1</v>
      </c>
      <c r="W5" s="18">
        <f>MONTH(Tabela1[[#This Row],[Data]])</f>
        <v>11</v>
      </c>
      <c r="X5" s="18">
        <f>YEAR(Tabela1[[#This Row],[Data]])</f>
        <v>2022</v>
      </c>
    </row>
    <row r="6" spans="1:24" hidden="1" x14ac:dyDescent="0.25">
      <c r="A6" s="22">
        <v>12175</v>
      </c>
      <c r="B6" s="21">
        <v>44866</v>
      </c>
      <c r="C6" s="23">
        <v>677</v>
      </c>
      <c r="D6" s="24"/>
      <c r="E6" s="24"/>
      <c r="F6" s="24"/>
      <c r="G6" s="18" t="str">
        <f>IFERROR(VLOOKUP(Tabela1[[#This Row],[Mat. 1]],'Base de Dados'!$I$5:$J$21,2,0),"")</f>
        <v>RAFAEL</v>
      </c>
      <c r="H6" s="18" t="str">
        <f>IFERROR(VLOOKUP(Tabela1[[#This Row],[Mat. 2]],'Base de Dados'!$I$5:$J$21,2,0),"")</f>
        <v/>
      </c>
      <c r="I6" s="18" t="str">
        <f>IFERROR(VLOOKUP(Tabela1[[#This Row],[Mat. 3]],'Base de Dados'!$I$5:$J$21,2,0),"")</f>
        <v/>
      </c>
      <c r="J6" s="18" t="str">
        <f>IFERROR(VLOOKUP(Tabela1[[#This Row],[Mat. 4]],'Base de Dados'!$I$5:$J$21,2,0),"")</f>
        <v/>
      </c>
      <c r="K6" s="18" t="str">
        <f>IFERROR(VLOOKUP(Tabela1[[#This Row],[Mat. 1]],'Base de Dados'!$I$2:$M$21,5,0),"")</f>
        <v>2º</v>
      </c>
      <c r="L6" s="18" t="s">
        <v>319</v>
      </c>
      <c r="M6" s="18" t="s">
        <v>316</v>
      </c>
      <c r="N6" s="18" t="s">
        <v>558</v>
      </c>
      <c r="O6" s="18">
        <v>21</v>
      </c>
      <c r="P6" s="18">
        <v>0</v>
      </c>
      <c r="Q6" s="45" t="s">
        <v>320</v>
      </c>
      <c r="R6" s="18" t="s">
        <v>116</v>
      </c>
      <c r="S6" s="18" t="str">
        <f>IFERROR(VLOOKUP(Tabela1[[#This Row],[Cód. Causa]],'Base de Dados'!$O$2:$P$21,2,0),"")</f>
        <v xml:space="preserve">EQUIPAMENTO TRABALHANDO COM CARGA EXCESSIVA </v>
      </c>
      <c r="T6" s="18" t="str">
        <f>IFERROR(VLOOKUP(Tabela1[[#This Row],[Tag]],'Base de Dados'!$B$2:$C$64,2,0),"")</f>
        <v/>
      </c>
      <c r="U6" s="18" t="str">
        <f>IFERROR(VLOOKUP(Tabela1[[#This Row],[Tag]],'Base de Dados'!V6:W58,2,0),"")</f>
        <v/>
      </c>
      <c r="V6" s="18">
        <f>DAY(Tabela1[[#This Row],[Data]])</f>
        <v>1</v>
      </c>
      <c r="W6" s="18">
        <f>MONTH(Tabela1[[#This Row],[Data]])</f>
        <v>11</v>
      </c>
      <c r="X6" s="18">
        <f>YEAR(Tabela1[[#This Row],[Data]])</f>
        <v>2022</v>
      </c>
    </row>
    <row r="7" spans="1:24" hidden="1" x14ac:dyDescent="0.25">
      <c r="A7" s="22">
        <v>12483</v>
      </c>
      <c r="B7" s="21">
        <v>44866</v>
      </c>
      <c r="C7" s="23">
        <v>631</v>
      </c>
      <c r="D7" s="24">
        <v>540</v>
      </c>
      <c r="E7" s="24"/>
      <c r="F7" s="24"/>
      <c r="G7" s="18" t="str">
        <f>IFERROR(VLOOKUP(Tabela1[[#This Row],[Mat. 1]],'Base de Dados'!$I$5:$J$21,2,0),"")</f>
        <v>JOSINALDO</v>
      </c>
      <c r="H7" s="18" t="str">
        <f>IFERROR(VLOOKUP(Tabela1[[#This Row],[Mat. 2]],'Base de Dados'!$I$5:$J$21,2,0),"")</f>
        <v>ANDERSON</v>
      </c>
      <c r="I7" s="18" t="str">
        <f>IFERROR(VLOOKUP(Tabela1[[#This Row],[Mat. 3]],'Base de Dados'!$I$5:$J$21,2,0),"")</f>
        <v/>
      </c>
      <c r="J7" s="18" t="str">
        <f>IFERROR(VLOOKUP(Tabela1[[#This Row],[Mat. 4]],'Base de Dados'!$I$5:$J$21,2,0),"")</f>
        <v/>
      </c>
      <c r="K7" s="18" t="str">
        <f>IFERROR(VLOOKUP(Tabela1[[#This Row],[Mat. 1]],'Base de Dados'!$I$2:$M$21,5,0),"")</f>
        <v>2º</v>
      </c>
      <c r="L7" s="18" t="s">
        <v>53</v>
      </c>
      <c r="M7" s="18" t="s">
        <v>316</v>
      </c>
      <c r="N7" s="18" t="s">
        <v>558</v>
      </c>
      <c r="O7" s="18">
        <v>13</v>
      </c>
      <c r="P7" s="18">
        <v>0</v>
      </c>
      <c r="Q7" s="45" t="s">
        <v>321</v>
      </c>
      <c r="R7" s="18" t="s">
        <v>116</v>
      </c>
      <c r="S7" s="18" t="str">
        <f>IFERROR(VLOOKUP(Tabela1[[#This Row],[Cód. Causa]],'Base de Dados'!$O$2:$P$21,2,0),"")</f>
        <v xml:space="preserve">EQUIPAMENTO TRABALHANDO COM CARGA EXCESSIVA </v>
      </c>
      <c r="T7" s="18" t="str">
        <f>IFERROR(VLOOKUP(Tabela1[[#This Row],[Tag]],'Base de Dados'!$B$2:$C$64,2,0),"")</f>
        <v>PRENSA CORTE INNER DASH</v>
      </c>
      <c r="U7" s="18" t="str">
        <f>IFERROR(VLOOKUP(Tabela1[[#This Row],[Tag]],'Base de Dados'!V7:W59,2,0),"")</f>
        <v>UTE-02</v>
      </c>
      <c r="V7" s="18">
        <f>DAY(Tabela1[[#This Row],[Data]])</f>
        <v>1</v>
      </c>
      <c r="W7" s="18">
        <f>MONTH(Tabela1[[#This Row],[Data]])</f>
        <v>11</v>
      </c>
      <c r="X7" s="18">
        <f>YEAR(Tabela1[[#This Row],[Data]])</f>
        <v>2022</v>
      </c>
    </row>
    <row r="8" spans="1:24" hidden="1" x14ac:dyDescent="0.25">
      <c r="A8" s="22">
        <v>12499</v>
      </c>
      <c r="B8" s="21">
        <v>44866</v>
      </c>
      <c r="C8" s="23">
        <v>631</v>
      </c>
      <c r="D8" s="24">
        <v>540</v>
      </c>
      <c r="E8" s="24"/>
      <c r="F8" s="24"/>
      <c r="G8" s="18" t="str">
        <f>IFERROR(VLOOKUP(Tabela1[[#This Row],[Mat. 1]],'Base de Dados'!$I$5:$J$21,2,0),"")</f>
        <v>JOSINALDO</v>
      </c>
      <c r="H8" s="18" t="str">
        <f>IFERROR(VLOOKUP(Tabela1[[#This Row],[Mat. 2]],'Base de Dados'!$I$5:$J$21,2,0),"")</f>
        <v>ANDERSON</v>
      </c>
      <c r="I8" s="18" t="str">
        <f>IFERROR(VLOOKUP(Tabela1[[#This Row],[Mat. 3]],'Base de Dados'!$I$5:$J$21,2,0),"")</f>
        <v/>
      </c>
      <c r="J8" s="18" t="str">
        <f>IFERROR(VLOOKUP(Tabela1[[#This Row],[Mat. 4]],'Base de Dados'!$I$5:$J$21,2,0),"")</f>
        <v/>
      </c>
      <c r="K8" s="18" t="str">
        <f>IFERROR(VLOOKUP(Tabela1[[#This Row],[Mat. 1]],'Base de Dados'!$I$2:$M$21,5,0),"")</f>
        <v>2º</v>
      </c>
      <c r="L8" s="18" t="s">
        <v>162</v>
      </c>
      <c r="M8" s="18" t="s">
        <v>313</v>
      </c>
      <c r="N8" s="18" t="s">
        <v>558</v>
      </c>
      <c r="O8" s="18">
        <v>10</v>
      </c>
      <c r="P8" s="18">
        <v>0</v>
      </c>
      <c r="Q8" s="45" t="s">
        <v>322</v>
      </c>
      <c r="R8" s="18" t="s">
        <v>34</v>
      </c>
      <c r="S8" s="18" t="str">
        <f>IFERROR(VLOOKUP(Tabela1[[#This Row],[Cód. Causa]],'Base de Dados'!$O$2:$P$21,2,0),"")</f>
        <v>FALHA EM COMPONENTES ELETRONICO</v>
      </c>
      <c r="T8" s="18" t="str">
        <f>IFERROR(VLOOKUP(Tabela1[[#This Row],[Tag]],'Base de Dados'!$B$2:$C$64,2,0),"")</f>
        <v>PRENSA MOLDAGEM HOOD</v>
      </c>
      <c r="U8" s="18" t="str">
        <f>IFERROR(VLOOKUP(Tabela1[[#This Row],[Tag]],'Base de Dados'!V8:W60,2,0),"")</f>
        <v>UTE-02</v>
      </c>
      <c r="V8" s="18">
        <f>DAY(Tabela1[[#This Row],[Data]])</f>
        <v>1</v>
      </c>
      <c r="W8" s="18">
        <f>MONTH(Tabela1[[#This Row],[Data]])</f>
        <v>11</v>
      </c>
      <c r="X8" s="18">
        <f>YEAR(Tabela1[[#This Row],[Data]])</f>
        <v>2022</v>
      </c>
    </row>
    <row r="9" spans="1:24" hidden="1" x14ac:dyDescent="0.25">
      <c r="A9" s="22">
        <v>12500</v>
      </c>
      <c r="B9" s="21">
        <v>44866</v>
      </c>
      <c r="C9" s="23">
        <v>540</v>
      </c>
      <c r="D9" s="24">
        <v>631</v>
      </c>
      <c r="E9" s="24"/>
      <c r="F9" s="24"/>
      <c r="G9" s="18" t="str">
        <f>IFERROR(VLOOKUP(Tabela1[[#This Row],[Mat. 1]],'Base de Dados'!$I$5:$J$21,2,0),"")</f>
        <v>ANDERSON</v>
      </c>
      <c r="H9" s="18" t="str">
        <f>IFERROR(VLOOKUP(Tabela1[[#This Row],[Mat. 2]],'Base de Dados'!$I$5:$J$21,2,0),"")</f>
        <v>JOSINALDO</v>
      </c>
      <c r="I9" s="18" t="str">
        <f>IFERROR(VLOOKUP(Tabela1[[#This Row],[Mat. 3]],'Base de Dados'!$I$5:$J$21,2,0),"")</f>
        <v/>
      </c>
      <c r="J9" s="18" t="str">
        <f>IFERROR(VLOOKUP(Tabela1[[#This Row],[Mat. 4]],'Base de Dados'!$I$5:$J$21,2,0),"")</f>
        <v/>
      </c>
      <c r="K9" s="18" t="str">
        <f>IFERROR(VLOOKUP(Tabela1[[#This Row],[Mat. 1]],'Base de Dados'!$I$2:$M$21,5,0),"")</f>
        <v>2º</v>
      </c>
      <c r="L9" s="18" t="s">
        <v>85</v>
      </c>
      <c r="M9" s="18" t="s">
        <v>316</v>
      </c>
      <c r="N9" s="18" t="s">
        <v>558</v>
      </c>
      <c r="O9" s="18">
        <v>40</v>
      </c>
      <c r="P9" s="18">
        <v>0</v>
      </c>
      <c r="Q9" s="45" t="s">
        <v>323</v>
      </c>
      <c r="R9" s="18" t="s">
        <v>116</v>
      </c>
      <c r="S9" s="18" t="str">
        <f>IFERROR(VLOOKUP(Tabela1[[#This Row],[Cód. Causa]],'Base de Dados'!$O$2:$P$21,2,0),"")</f>
        <v xml:space="preserve">EQUIPAMENTO TRABALHANDO COM CARGA EXCESSIVA </v>
      </c>
      <c r="T9" s="18" t="str">
        <f>IFERROR(VLOOKUP(Tabela1[[#This Row],[Tag]],'Base de Dados'!$B$2:$C$64,2,0),"")</f>
        <v>INJETORA INNER DASH</v>
      </c>
      <c r="U9" s="18" t="str">
        <f>IFERROR(VLOOKUP(Tabela1[[#This Row],[Tag]],'Base de Dados'!V9:W61,2,0),"")</f>
        <v>UTE-02</v>
      </c>
      <c r="V9" s="18">
        <f>DAY(Tabela1[[#This Row],[Data]])</f>
        <v>1</v>
      </c>
      <c r="W9" s="18">
        <f>MONTH(Tabela1[[#This Row],[Data]])</f>
        <v>11</v>
      </c>
      <c r="X9" s="18">
        <f>YEAR(Tabela1[[#This Row],[Data]])</f>
        <v>2022</v>
      </c>
    </row>
    <row r="10" spans="1:24" hidden="1" x14ac:dyDescent="0.25">
      <c r="A10" s="22">
        <v>12720</v>
      </c>
      <c r="B10" s="21">
        <v>44866</v>
      </c>
      <c r="C10" s="23">
        <v>493</v>
      </c>
      <c r="D10" s="24"/>
      <c r="E10" s="24"/>
      <c r="F10" s="24"/>
      <c r="G10" s="18" t="str">
        <f>IFERROR(VLOOKUP(Tabela1[[#This Row],[Mat. 1]],'Base de Dados'!$I$5:$J$21,2,0),"")</f>
        <v>ELIAS</v>
      </c>
      <c r="H10" s="18" t="str">
        <f>IFERROR(VLOOKUP(Tabela1[[#This Row],[Mat. 2]],'Base de Dados'!$I$5:$J$21,2,0),"")</f>
        <v/>
      </c>
      <c r="I10" s="18" t="str">
        <f>IFERROR(VLOOKUP(Tabela1[[#This Row],[Mat. 3]],'Base de Dados'!$I$5:$J$21,2,0),"")</f>
        <v/>
      </c>
      <c r="J10" s="18" t="str">
        <f>IFERROR(VLOOKUP(Tabela1[[#This Row],[Mat. 4]],'Base de Dados'!$I$5:$J$21,2,0),"")</f>
        <v/>
      </c>
      <c r="K10" s="18" t="str">
        <f>IFERROR(VLOOKUP(Tabela1[[#This Row],[Mat. 1]],'Base de Dados'!$I$2:$M$21,5,0),"")</f>
        <v>1º</v>
      </c>
      <c r="L10" s="18" t="s">
        <v>79</v>
      </c>
      <c r="M10" s="18" t="s">
        <v>316</v>
      </c>
      <c r="N10" s="18" t="s">
        <v>558</v>
      </c>
      <c r="O10" s="18">
        <v>25</v>
      </c>
      <c r="P10" s="18">
        <v>0</v>
      </c>
      <c r="Q10" s="45" t="s">
        <v>324</v>
      </c>
      <c r="R10" s="18" t="s">
        <v>116</v>
      </c>
      <c r="S10" s="18" t="str">
        <f>IFERROR(VLOOKUP(Tabela1[[#This Row],[Cód. Causa]],'Base de Dados'!$O$2:$P$21,2,0),"")</f>
        <v xml:space="preserve">EQUIPAMENTO TRABALHANDO COM CARGA EXCESSIVA </v>
      </c>
      <c r="T10" s="18" t="str">
        <f>IFERROR(VLOOKUP(Tabela1[[#This Row],[Tag]],'Base de Dados'!$B$2:$C$64,2,0),"")</f>
        <v>PRENSA COM INJEÇÃO PU INNER 03</v>
      </c>
      <c r="U10" s="18" t="str">
        <f>IFERROR(VLOOKUP(Tabela1[[#This Row],[Tag]],'Base de Dados'!V10:W62,2,0),"")</f>
        <v>UTE-02</v>
      </c>
      <c r="V10" s="18">
        <f>DAY(Tabela1[[#This Row],[Data]])</f>
        <v>1</v>
      </c>
      <c r="W10" s="18">
        <f>MONTH(Tabela1[[#This Row],[Data]])</f>
        <v>11</v>
      </c>
      <c r="X10" s="18">
        <f>YEAR(Tabela1[[#This Row],[Data]])</f>
        <v>2022</v>
      </c>
    </row>
    <row r="11" spans="1:24" hidden="1" x14ac:dyDescent="0.25">
      <c r="A11" s="22">
        <v>12786</v>
      </c>
      <c r="B11" s="21">
        <v>44866</v>
      </c>
      <c r="C11" s="23">
        <v>677</v>
      </c>
      <c r="D11" s="24">
        <v>267</v>
      </c>
      <c r="E11" s="24"/>
      <c r="F11" s="24"/>
      <c r="G11" s="18" t="str">
        <f>IFERROR(VLOOKUP(Tabela1[[#This Row],[Mat. 1]],'Base de Dados'!$I$5:$J$21,2,0),"")</f>
        <v>RAFAEL</v>
      </c>
      <c r="H11" s="18" t="str">
        <f>IFERROR(VLOOKUP(Tabela1[[#This Row],[Mat. 2]],'Base de Dados'!$I$5:$J$21,2,0),"")</f>
        <v/>
      </c>
      <c r="I11" s="18" t="str">
        <f>IFERROR(VLOOKUP(Tabela1[[#This Row],[Mat. 3]],'Base de Dados'!$I$5:$J$21,2,0),"")</f>
        <v/>
      </c>
      <c r="J11" s="18" t="str">
        <f>IFERROR(VLOOKUP(Tabela1[[#This Row],[Mat. 4]],'Base de Dados'!$I$5:$J$21,2,0),"")</f>
        <v/>
      </c>
      <c r="K11" s="18" t="str">
        <f>IFERROR(VLOOKUP(Tabela1[[#This Row],[Mat. 1]],'Base de Dados'!$I$2:$M$21,5,0),"")</f>
        <v>2º</v>
      </c>
      <c r="L11" s="18" t="s">
        <v>172</v>
      </c>
      <c r="M11" s="18" t="s">
        <v>313</v>
      </c>
      <c r="N11" s="18" t="s">
        <v>558</v>
      </c>
      <c r="O11" s="18">
        <v>15</v>
      </c>
      <c r="P11" s="18">
        <v>0</v>
      </c>
      <c r="Q11" s="45" t="s">
        <v>325</v>
      </c>
      <c r="R11" s="18" t="s">
        <v>34</v>
      </c>
      <c r="S11" s="18" t="str">
        <f>IFERROR(VLOOKUP(Tabela1[[#This Row],[Cód. Causa]],'Base de Dados'!$O$2:$P$21,2,0),"")</f>
        <v>FALHA EM COMPONENTES ELETRONICO</v>
      </c>
      <c r="T11" s="18" t="str">
        <f>IFERROR(VLOOKUP(Tabela1[[#This Row],[Tag]],'Base de Dados'!$B$2:$C$64,2,0),"")</f>
        <v>PRENSA DE MOLDAGEM CARPETE</v>
      </c>
      <c r="U11" s="18" t="str">
        <f>IFERROR(VLOOKUP(Tabela1[[#This Row],[Tag]],'Base de Dados'!V11:W63,2,0),"")</f>
        <v>UTE-05</v>
      </c>
      <c r="V11" s="18">
        <f>DAY(Tabela1[[#This Row],[Data]])</f>
        <v>1</v>
      </c>
      <c r="W11" s="18">
        <f>MONTH(Tabela1[[#This Row],[Data]])</f>
        <v>11</v>
      </c>
      <c r="X11" s="18">
        <f>YEAR(Tabela1[[#This Row],[Data]])</f>
        <v>2022</v>
      </c>
    </row>
    <row r="12" spans="1:24" hidden="1" x14ac:dyDescent="0.25">
      <c r="A12" s="22">
        <v>12820</v>
      </c>
      <c r="B12" s="21">
        <v>44866</v>
      </c>
      <c r="C12" s="23">
        <v>267</v>
      </c>
      <c r="D12" s="24"/>
      <c r="E12" s="24"/>
      <c r="F12" s="24"/>
      <c r="G12" s="18" t="str">
        <f>IFERROR(VLOOKUP(Tabela1[[#This Row],[Mat. 1]],'Base de Dados'!$I$5:$J$21,2,0),"")</f>
        <v/>
      </c>
      <c r="H12" s="18" t="str">
        <f>IFERROR(VLOOKUP(Tabela1[[#This Row],[Mat. 2]],'Base de Dados'!$I$5:$J$21,2,0),"")</f>
        <v/>
      </c>
      <c r="I12" s="18" t="str">
        <f>IFERROR(VLOOKUP(Tabela1[[#This Row],[Mat. 3]],'Base de Dados'!$I$5:$J$21,2,0),"")</f>
        <v/>
      </c>
      <c r="J12" s="18" t="str">
        <f>IFERROR(VLOOKUP(Tabela1[[#This Row],[Mat. 4]],'Base de Dados'!$I$5:$J$21,2,0),"")</f>
        <v/>
      </c>
      <c r="K12" s="18" t="str">
        <f>IFERROR(VLOOKUP(Tabela1[[#This Row],[Mat. 1]],'Base de Dados'!$I$2:$M$21,5,0),"")</f>
        <v>2º</v>
      </c>
      <c r="L12" s="18" t="s">
        <v>141</v>
      </c>
      <c r="M12" s="18" t="s">
        <v>316</v>
      </c>
      <c r="N12" s="18" t="s">
        <v>558</v>
      </c>
      <c r="O12" s="18">
        <v>25</v>
      </c>
      <c r="P12" s="18">
        <v>0</v>
      </c>
      <c r="Q12" s="45" t="s">
        <v>326</v>
      </c>
      <c r="R12" s="18" t="s">
        <v>116</v>
      </c>
      <c r="S12" s="18" t="str">
        <f>IFERROR(VLOOKUP(Tabela1[[#This Row],[Cód. Causa]],'Base de Dados'!$O$2:$P$21,2,0),"")</f>
        <v xml:space="preserve">EQUIPAMENTO TRABALHANDO COM CARGA EXCESSIVA </v>
      </c>
      <c r="T12" s="18" t="str">
        <f>IFERROR(VLOOKUP(Tabela1[[#This Row],[Tag]],'Base de Dados'!$B$2:$C$64,2,0),"")</f>
        <v>CORTE DO TETO  - WATER JET 2</v>
      </c>
      <c r="U12" s="18" t="str">
        <f>IFERROR(VLOOKUP(Tabela1[[#This Row],[Tag]],'Base de Dados'!V12:W64,2,0),"")</f>
        <v>UTE-03</v>
      </c>
      <c r="V12" s="18">
        <f>DAY(Tabela1[[#This Row],[Data]])</f>
        <v>1</v>
      </c>
      <c r="W12" s="18">
        <f>MONTH(Tabela1[[#This Row],[Data]])</f>
        <v>11</v>
      </c>
      <c r="X12" s="18">
        <f>YEAR(Tabela1[[#This Row],[Data]])</f>
        <v>2022</v>
      </c>
    </row>
    <row r="13" spans="1:24" hidden="1" x14ac:dyDescent="0.25">
      <c r="A13" s="22">
        <v>12821</v>
      </c>
      <c r="B13" s="21">
        <v>44866</v>
      </c>
      <c r="C13" s="23">
        <v>540</v>
      </c>
      <c r="D13" s="24"/>
      <c r="E13" s="24"/>
      <c r="F13" s="24"/>
      <c r="G13" s="18" t="str">
        <f>IFERROR(VLOOKUP(Tabela1[[#This Row],[Mat. 1]],'Base de Dados'!$I$5:$J$21,2,0),"")</f>
        <v>ANDERSON</v>
      </c>
      <c r="H13" s="18" t="str">
        <f>IFERROR(VLOOKUP(Tabela1[[#This Row],[Mat. 2]],'Base de Dados'!$I$5:$J$21,2,0),"")</f>
        <v/>
      </c>
      <c r="I13" s="18" t="str">
        <f>IFERROR(VLOOKUP(Tabela1[[#This Row],[Mat. 3]],'Base de Dados'!$I$5:$J$21,2,0),"")</f>
        <v/>
      </c>
      <c r="J13" s="18" t="str">
        <f>IFERROR(VLOOKUP(Tabela1[[#This Row],[Mat. 4]],'Base de Dados'!$I$5:$J$21,2,0),"")</f>
        <v/>
      </c>
      <c r="K13" s="18" t="str">
        <f>IFERROR(VLOOKUP(Tabela1[[#This Row],[Mat. 1]],'Base de Dados'!$I$2:$M$21,5,0),"")</f>
        <v>2º</v>
      </c>
      <c r="L13" s="18" t="s">
        <v>141</v>
      </c>
      <c r="M13" s="18" t="s">
        <v>316</v>
      </c>
      <c r="N13" s="18" t="s">
        <v>558</v>
      </c>
      <c r="O13" s="18">
        <v>10</v>
      </c>
      <c r="P13" s="18">
        <v>0</v>
      </c>
      <c r="Q13" s="45" t="s">
        <v>327</v>
      </c>
      <c r="R13" s="18" t="s">
        <v>116</v>
      </c>
      <c r="S13" s="18" t="str">
        <f>IFERROR(VLOOKUP(Tabela1[[#This Row],[Cód. Causa]],'Base de Dados'!$O$2:$P$21,2,0),"")</f>
        <v xml:space="preserve">EQUIPAMENTO TRABALHANDO COM CARGA EXCESSIVA </v>
      </c>
      <c r="T13" s="18" t="str">
        <f>IFERROR(VLOOKUP(Tabela1[[#This Row],[Tag]],'Base de Dados'!$B$2:$C$64,2,0),"")</f>
        <v>CORTE DO TETO  - WATER JET 2</v>
      </c>
      <c r="U13" s="18" t="str">
        <f>IFERROR(VLOOKUP(Tabela1[[#This Row],[Tag]],'Base de Dados'!V13:W65,2,0),"")</f>
        <v>UTE-03</v>
      </c>
      <c r="V13" s="18">
        <f>DAY(Tabela1[[#This Row],[Data]])</f>
        <v>1</v>
      </c>
      <c r="W13" s="18">
        <f>MONTH(Tabela1[[#This Row],[Data]])</f>
        <v>11</v>
      </c>
      <c r="X13" s="18">
        <f>YEAR(Tabela1[[#This Row],[Data]])</f>
        <v>2022</v>
      </c>
    </row>
    <row r="14" spans="1:24" hidden="1" x14ac:dyDescent="0.25">
      <c r="A14" s="22">
        <v>12841</v>
      </c>
      <c r="B14" s="21">
        <v>44866</v>
      </c>
      <c r="C14" s="23">
        <v>592</v>
      </c>
      <c r="D14" s="24"/>
      <c r="E14" s="24"/>
      <c r="F14" s="24"/>
      <c r="G14" s="18" t="str">
        <f>IFERROR(VLOOKUP(Tabela1[[#This Row],[Mat. 1]],'Base de Dados'!$I$5:$J$21,2,0),"")</f>
        <v>CRISTIANO</v>
      </c>
      <c r="H14" s="18" t="str">
        <f>IFERROR(VLOOKUP(Tabela1[[#This Row],[Mat. 2]],'Base de Dados'!$I$5:$J$21,2,0),"")</f>
        <v/>
      </c>
      <c r="I14" s="18" t="str">
        <f>IFERROR(VLOOKUP(Tabela1[[#This Row],[Mat. 3]],'Base de Dados'!$I$5:$J$21,2,0),"")</f>
        <v/>
      </c>
      <c r="J14" s="18" t="str">
        <f>IFERROR(VLOOKUP(Tabela1[[#This Row],[Mat. 4]],'Base de Dados'!$I$5:$J$21,2,0),"")</f>
        <v/>
      </c>
      <c r="K14" s="18" t="str">
        <f>IFERROR(VLOOKUP(Tabela1[[#This Row],[Mat. 1]],'Base de Dados'!$I$2:$M$21,5,0),"")</f>
        <v>1º</v>
      </c>
      <c r="L14" s="18" t="s">
        <v>328</v>
      </c>
      <c r="M14" s="18" t="s">
        <v>316</v>
      </c>
      <c r="N14" s="18" t="s">
        <v>558</v>
      </c>
      <c r="O14" s="18">
        <v>43</v>
      </c>
      <c r="P14" s="18">
        <v>0</v>
      </c>
      <c r="Q14" s="45" t="s">
        <v>329</v>
      </c>
      <c r="R14" s="18" t="s">
        <v>116</v>
      </c>
      <c r="S14" s="18" t="str">
        <f>IFERROR(VLOOKUP(Tabela1[[#This Row],[Cód. Causa]],'Base de Dados'!$O$2:$P$21,2,0),"")</f>
        <v xml:space="preserve">EQUIPAMENTO TRABALHANDO COM CARGA EXCESSIVA </v>
      </c>
      <c r="T14" s="18" t="str">
        <f>IFERROR(VLOOKUP(Tabela1[[#This Row],[Tag]],'Base de Dados'!$B$2:$C$64,2,0),"")</f>
        <v/>
      </c>
      <c r="U14" s="18" t="str">
        <f>IFERROR(VLOOKUP(Tabela1[[#This Row],[Tag]],'Base de Dados'!V14:W66,2,0),"")</f>
        <v/>
      </c>
      <c r="V14" s="18">
        <f>DAY(Tabela1[[#This Row],[Data]])</f>
        <v>1</v>
      </c>
      <c r="W14" s="18">
        <f>MONTH(Tabela1[[#This Row],[Data]])</f>
        <v>11</v>
      </c>
      <c r="X14" s="18">
        <f>YEAR(Tabela1[[#This Row],[Data]])</f>
        <v>2022</v>
      </c>
    </row>
    <row r="15" spans="1:24" hidden="1" x14ac:dyDescent="0.25">
      <c r="A15" s="22">
        <v>12912</v>
      </c>
      <c r="B15" s="21">
        <v>44866</v>
      </c>
      <c r="C15" s="23">
        <v>15</v>
      </c>
      <c r="D15" s="24"/>
      <c r="E15" s="24"/>
      <c r="F15" s="24"/>
      <c r="G15" s="18" t="str">
        <f>IFERROR(VLOOKUP(Tabela1[[#This Row],[Mat. 1]],'Base de Dados'!$I$5:$J$21,2,0),"")</f>
        <v>ROBERT</v>
      </c>
      <c r="H15" s="18" t="str">
        <f>IFERROR(VLOOKUP(Tabela1[[#This Row],[Mat. 2]],'Base de Dados'!$I$5:$J$21,2,0),"")</f>
        <v/>
      </c>
      <c r="I15" s="18" t="str">
        <f>IFERROR(VLOOKUP(Tabela1[[#This Row],[Mat. 3]],'Base de Dados'!$I$5:$J$21,2,0),"")</f>
        <v/>
      </c>
      <c r="J15" s="18" t="str">
        <f>IFERROR(VLOOKUP(Tabela1[[#This Row],[Mat. 4]],'Base de Dados'!$I$5:$J$21,2,0),"")</f>
        <v/>
      </c>
      <c r="K15" s="18" t="str">
        <f>IFERROR(VLOOKUP(Tabela1[[#This Row],[Mat. 1]],'Base de Dados'!$I$2:$M$21,5,0),"")</f>
        <v>1º</v>
      </c>
      <c r="L15" s="18" t="s">
        <v>141</v>
      </c>
      <c r="M15" s="18" t="s">
        <v>316</v>
      </c>
      <c r="N15" s="18" t="s">
        <v>558</v>
      </c>
      <c r="O15" s="18">
        <v>0</v>
      </c>
      <c r="P15" s="18">
        <v>6</v>
      </c>
      <c r="Q15" s="45" t="s">
        <v>260</v>
      </c>
      <c r="R15" s="18" t="s">
        <v>116</v>
      </c>
      <c r="S15" s="18" t="str">
        <f>IFERROR(VLOOKUP(Tabela1[[#This Row],[Cód. Causa]],'Base de Dados'!$O$2:$P$21,2,0),"")</f>
        <v xml:space="preserve">EQUIPAMENTO TRABALHANDO COM CARGA EXCESSIVA </v>
      </c>
      <c r="T15" s="18" t="str">
        <f>IFERROR(VLOOKUP(Tabela1[[#This Row],[Tag]],'Base de Dados'!$B$2:$C$64,2,0),"")</f>
        <v>CORTE DO TETO  - WATER JET 2</v>
      </c>
      <c r="U15" s="18" t="str">
        <f>IFERROR(VLOOKUP(Tabela1[[#This Row],[Tag]],'Base de Dados'!V15:W67,2,0),"")</f>
        <v>UTE-03</v>
      </c>
      <c r="V15" s="18">
        <f>DAY(Tabela1[[#This Row],[Data]])</f>
        <v>1</v>
      </c>
      <c r="W15" s="18">
        <f>MONTH(Tabela1[[#This Row],[Data]])</f>
        <v>11</v>
      </c>
      <c r="X15" s="18">
        <f>YEAR(Tabela1[[#This Row],[Data]])</f>
        <v>2022</v>
      </c>
    </row>
    <row r="16" spans="1:24" hidden="1" x14ac:dyDescent="0.25">
      <c r="A16" s="22">
        <v>12912</v>
      </c>
      <c r="B16" s="21">
        <v>44866</v>
      </c>
      <c r="C16" s="23">
        <v>15</v>
      </c>
      <c r="D16" s="24"/>
      <c r="E16" s="24"/>
      <c r="F16" s="24"/>
      <c r="G16" s="18" t="str">
        <f>IFERROR(VLOOKUP(Tabela1[[#This Row],[Mat. 1]],'Base de Dados'!$I$5:$J$21,2,0),"")</f>
        <v>ROBERT</v>
      </c>
      <c r="H16" s="18" t="str">
        <f>IFERROR(VLOOKUP(Tabela1[[#This Row],[Mat. 2]],'Base de Dados'!$I$5:$J$21,2,0),"")</f>
        <v/>
      </c>
      <c r="I16" s="18" t="str">
        <f>IFERROR(VLOOKUP(Tabela1[[#This Row],[Mat. 3]],'Base de Dados'!$I$5:$J$21,2,0),"")</f>
        <v/>
      </c>
      <c r="J16" s="18" t="str">
        <f>IFERROR(VLOOKUP(Tabela1[[#This Row],[Mat. 4]],'Base de Dados'!$I$5:$J$21,2,0),"")</f>
        <v/>
      </c>
      <c r="K16" s="18" t="str">
        <f>IFERROR(VLOOKUP(Tabela1[[#This Row],[Mat. 1]],'Base de Dados'!$I$2:$M$21,5,0),"")</f>
        <v>1º</v>
      </c>
      <c r="L16" s="18" t="s">
        <v>141</v>
      </c>
      <c r="M16" s="18" t="s">
        <v>316</v>
      </c>
      <c r="N16" s="18" t="s">
        <v>558</v>
      </c>
      <c r="O16" s="18">
        <v>6</v>
      </c>
      <c r="P16" s="18">
        <v>0</v>
      </c>
      <c r="Q16" s="45" t="s">
        <v>260</v>
      </c>
      <c r="R16" s="18" t="s">
        <v>116</v>
      </c>
      <c r="S16" s="18" t="str">
        <f>IFERROR(VLOOKUP(Tabela1[[#This Row],[Cód. Causa]],'Base de Dados'!$O$2:$P$21,2,0),"")</f>
        <v xml:space="preserve">EQUIPAMENTO TRABALHANDO COM CARGA EXCESSIVA </v>
      </c>
      <c r="T16" s="18" t="str">
        <f>IFERROR(VLOOKUP(Tabela1[[#This Row],[Tag]],'Base de Dados'!$B$2:$C$64,2,0),"")</f>
        <v>CORTE DO TETO  - WATER JET 2</v>
      </c>
      <c r="U16" s="18" t="str">
        <f>IFERROR(VLOOKUP(Tabela1[[#This Row],[Tag]],'Base de Dados'!V16:W68,2,0),"")</f>
        <v>UTE-03</v>
      </c>
      <c r="V16" s="18">
        <f>DAY(Tabela1[[#This Row],[Data]])</f>
        <v>1</v>
      </c>
      <c r="W16" s="18">
        <f>MONTH(Tabela1[[#This Row],[Data]])</f>
        <v>11</v>
      </c>
      <c r="X16" s="18">
        <f>YEAR(Tabela1[[#This Row],[Data]])</f>
        <v>2022</v>
      </c>
    </row>
    <row r="17" spans="1:24" hidden="1" x14ac:dyDescent="0.25">
      <c r="A17" s="22">
        <v>12913</v>
      </c>
      <c r="B17" s="21">
        <v>44866</v>
      </c>
      <c r="C17" s="23">
        <v>540</v>
      </c>
      <c r="D17" s="24">
        <v>248</v>
      </c>
      <c r="E17" s="24"/>
      <c r="F17" s="24"/>
      <c r="G17" s="18" t="str">
        <f>IFERROR(VLOOKUP(Tabela1[[#This Row],[Mat. 1]],'Base de Dados'!$I$5:$J$21,2,0),"")</f>
        <v>ANDERSON</v>
      </c>
      <c r="H17" s="18" t="str">
        <f>IFERROR(VLOOKUP(Tabela1[[#This Row],[Mat. 2]],'Base de Dados'!$I$5:$J$21,2,0),"")</f>
        <v>RUIGUENS</v>
      </c>
      <c r="I17" s="18" t="str">
        <f>IFERROR(VLOOKUP(Tabela1[[#This Row],[Mat. 3]],'Base de Dados'!$I$5:$J$21,2,0),"")</f>
        <v/>
      </c>
      <c r="J17" s="18" t="str">
        <f>IFERROR(VLOOKUP(Tabela1[[#This Row],[Mat. 4]],'Base de Dados'!$I$5:$J$21,2,0),"")</f>
        <v/>
      </c>
      <c r="K17" s="18" t="str">
        <f>IFERROR(VLOOKUP(Tabela1[[#This Row],[Mat. 1]],'Base de Dados'!$I$2:$M$21,5,0),"")</f>
        <v>2º</v>
      </c>
      <c r="L17" s="18" t="s">
        <v>79</v>
      </c>
      <c r="M17" s="18" t="s">
        <v>316</v>
      </c>
      <c r="N17" s="18" t="s">
        <v>558</v>
      </c>
      <c r="O17" s="18">
        <v>22</v>
      </c>
      <c r="P17" s="18">
        <v>0</v>
      </c>
      <c r="Q17" s="45" t="s">
        <v>330</v>
      </c>
      <c r="R17" s="18" t="s">
        <v>116</v>
      </c>
      <c r="S17" s="18" t="str">
        <f>IFERROR(VLOOKUP(Tabela1[[#This Row],[Cód. Causa]],'Base de Dados'!$O$2:$P$21,2,0),"")</f>
        <v xml:space="preserve">EQUIPAMENTO TRABALHANDO COM CARGA EXCESSIVA </v>
      </c>
      <c r="T17" s="18" t="str">
        <f>IFERROR(VLOOKUP(Tabela1[[#This Row],[Tag]],'Base de Dados'!$B$2:$C$64,2,0),"")</f>
        <v>PRENSA COM INJEÇÃO PU INNER 03</v>
      </c>
      <c r="U17" s="18" t="str">
        <f>IFERROR(VLOOKUP(Tabela1[[#This Row],[Tag]],'Base de Dados'!V17:W69,2,0),"")</f>
        <v/>
      </c>
      <c r="V17" s="18">
        <f>DAY(Tabela1[[#This Row],[Data]])</f>
        <v>1</v>
      </c>
      <c r="W17" s="18">
        <f>MONTH(Tabela1[[#This Row],[Data]])</f>
        <v>11</v>
      </c>
      <c r="X17" s="18">
        <f>YEAR(Tabela1[[#This Row],[Data]])</f>
        <v>2022</v>
      </c>
    </row>
    <row r="18" spans="1:24" hidden="1" x14ac:dyDescent="0.25">
      <c r="A18" s="22">
        <v>11194</v>
      </c>
      <c r="B18" s="21">
        <v>44868</v>
      </c>
      <c r="C18" s="23">
        <v>592</v>
      </c>
      <c r="D18" s="24"/>
      <c r="E18" s="24"/>
      <c r="F18" s="24"/>
      <c r="G18" s="18" t="str">
        <f>IFERROR(VLOOKUP(Tabela1[[#This Row],[Mat. 1]],'Base de Dados'!$I$5:$J$21,2,0),"")</f>
        <v>CRISTIANO</v>
      </c>
      <c r="H18" s="18" t="str">
        <f>IFERROR(VLOOKUP(Tabela1[[#This Row],[Mat. 2]],'Base de Dados'!$I$5:$J$21,2,0),"")</f>
        <v/>
      </c>
      <c r="I18" s="18" t="str">
        <f>IFERROR(VLOOKUP(Tabela1[[#This Row],[Mat. 3]],'Base de Dados'!$I$5:$J$21,2,0),"")</f>
        <v/>
      </c>
      <c r="J18" s="18" t="str">
        <f>IFERROR(VLOOKUP(Tabela1[[#This Row],[Mat. 4]],'Base de Dados'!$I$5:$J$21,2,0),"")</f>
        <v/>
      </c>
      <c r="K18" s="18" t="str">
        <f>IFERROR(VLOOKUP(Tabela1[[#This Row],[Mat. 1]],'Base de Dados'!$I$2:$M$21,5,0),"")</f>
        <v>1º</v>
      </c>
      <c r="L18" s="18" t="s">
        <v>42</v>
      </c>
      <c r="M18" s="18" t="s">
        <v>316</v>
      </c>
      <c r="N18" s="18" t="s">
        <v>558</v>
      </c>
      <c r="O18" s="18">
        <v>38</v>
      </c>
      <c r="P18" s="18">
        <v>0</v>
      </c>
      <c r="Q18" s="45" t="s">
        <v>331</v>
      </c>
      <c r="R18" s="18" t="s">
        <v>116</v>
      </c>
      <c r="S18" s="18" t="str">
        <f>IFERROR(VLOOKUP(Tabela1[[#This Row],[Cód. Causa]],'Base de Dados'!$O$2:$P$21,2,0),"")</f>
        <v xml:space="preserve">EQUIPAMENTO TRABALHANDO COM CARGA EXCESSIVA </v>
      </c>
      <c r="T18" s="18" t="str">
        <f>IFERROR(VLOOKUP(Tabela1[[#This Row],[Tag]],'Base de Dados'!$B$2:$C$64,2,0),"")</f>
        <v>INJETORA</v>
      </c>
      <c r="U18" s="18" t="str">
        <f>IFERROR(VLOOKUP(Tabela1[[#This Row],[Tag]],'Base de Dados'!V18:W70,2,0),"")</f>
        <v/>
      </c>
      <c r="V18" s="18">
        <f>DAY(Tabela1[[#This Row],[Data]])</f>
        <v>3</v>
      </c>
      <c r="W18" s="18">
        <f>MONTH(Tabela1[[#This Row],[Data]])</f>
        <v>11</v>
      </c>
      <c r="X18" s="18">
        <f>YEAR(Tabela1[[#This Row],[Data]])</f>
        <v>2022</v>
      </c>
    </row>
    <row r="19" spans="1:24" hidden="1" x14ac:dyDescent="0.25">
      <c r="A19" s="22">
        <v>12103</v>
      </c>
      <c r="B19" s="21">
        <v>44868</v>
      </c>
      <c r="C19" s="23">
        <v>782</v>
      </c>
      <c r="D19" s="24"/>
      <c r="E19" s="24"/>
      <c r="F19" s="24"/>
      <c r="G19" s="18" t="str">
        <f>IFERROR(VLOOKUP(Tabela1[[#This Row],[Mat. 1]],'Base de Dados'!$I$5:$J$21,2,0),"")</f>
        <v>JOSÉ</v>
      </c>
      <c r="H19" s="18" t="str">
        <f>IFERROR(VLOOKUP(Tabela1[[#This Row],[Mat. 2]],'Base de Dados'!$I$5:$J$21,2,0),"")</f>
        <v/>
      </c>
      <c r="I19" s="18" t="str">
        <f>IFERROR(VLOOKUP(Tabela1[[#This Row],[Mat. 3]],'Base de Dados'!$I$5:$J$21,2,0),"")</f>
        <v/>
      </c>
      <c r="J19" s="18" t="str">
        <f>IFERROR(VLOOKUP(Tabela1[[#This Row],[Mat. 4]],'Base de Dados'!$I$5:$J$21,2,0),"")</f>
        <v/>
      </c>
      <c r="K19" s="18" t="str">
        <f>IFERROR(VLOOKUP(Tabela1[[#This Row],[Mat. 1]],'Base de Dados'!$I$2:$M$21,5,0),"")</f>
        <v>3º</v>
      </c>
      <c r="L19" s="18" t="s">
        <v>141</v>
      </c>
      <c r="M19" s="18" t="s">
        <v>313</v>
      </c>
      <c r="N19" s="18" t="s">
        <v>558</v>
      </c>
      <c r="O19" s="18">
        <v>10</v>
      </c>
      <c r="P19" s="18">
        <v>0</v>
      </c>
      <c r="Q19" s="45" t="s">
        <v>332</v>
      </c>
      <c r="R19" s="18" t="s">
        <v>34</v>
      </c>
      <c r="S19" s="18" t="str">
        <f>IFERROR(VLOOKUP(Tabela1[[#This Row],[Cód. Causa]],'Base de Dados'!$O$2:$P$21,2,0),"")</f>
        <v>FALHA EM COMPONENTES ELETRONICO</v>
      </c>
      <c r="T19" s="18" t="str">
        <f>IFERROR(VLOOKUP(Tabela1[[#This Row],[Tag]],'Base de Dados'!$B$2:$C$64,2,0),"")</f>
        <v>CORTE DO TETO  - WATER JET 2</v>
      </c>
      <c r="U19" s="18" t="str">
        <f>IFERROR(VLOOKUP(Tabela1[[#This Row],[Tag]],'Base de Dados'!V19:W71,2,0),"")</f>
        <v>UTE-03</v>
      </c>
      <c r="V19" s="18">
        <f>DAY(Tabela1[[#This Row],[Data]])</f>
        <v>3</v>
      </c>
      <c r="W19" s="18">
        <f>MONTH(Tabela1[[#This Row],[Data]])</f>
        <v>11</v>
      </c>
      <c r="X19" s="18">
        <f>YEAR(Tabela1[[#This Row],[Data]])</f>
        <v>2022</v>
      </c>
    </row>
    <row r="20" spans="1:24" hidden="1" x14ac:dyDescent="0.25">
      <c r="A20" s="22">
        <v>12173</v>
      </c>
      <c r="B20" s="21">
        <v>44868</v>
      </c>
      <c r="C20" s="23">
        <v>185</v>
      </c>
      <c r="D20" s="24"/>
      <c r="E20" s="24"/>
      <c r="F20" s="24"/>
      <c r="G20" s="18" t="str">
        <f>IFERROR(VLOOKUP(Tabela1[[#This Row],[Mat. 1]],'Base de Dados'!$I$5:$J$21,2,0),"")</f>
        <v>FELIPE</v>
      </c>
      <c r="H20" s="18" t="str">
        <f>IFERROR(VLOOKUP(Tabela1[[#This Row],[Mat. 2]],'Base de Dados'!$I$5:$J$21,2,0),"")</f>
        <v/>
      </c>
      <c r="I20" s="18" t="str">
        <f>IFERROR(VLOOKUP(Tabela1[[#This Row],[Mat. 3]],'Base de Dados'!$I$5:$J$21,2,0),"")</f>
        <v/>
      </c>
      <c r="J20" s="18" t="str">
        <f>IFERROR(VLOOKUP(Tabela1[[#This Row],[Mat. 4]],'Base de Dados'!$I$5:$J$21,2,0),"")</f>
        <v/>
      </c>
      <c r="K20" s="18" t="str">
        <f>IFERROR(VLOOKUP(Tabela1[[#This Row],[Mat. 1]],'Base de Dados'!$I$2:$M$21,5,0),"")</f>
        <v>1º</v>
      </c>
      <c r="L20" s="18" t="s">
        <v>141</v>
      </c>
      <c r="M20" s="18" t="s">
        <v>316</v>
      </c>
      <c r="N20" s="18" t="s">
        <v>558</v>
      </c>
      <c r="O20" s="18">
        <v>0</v>
      </c>
      <c r="P20" s="18">
        <v>50</v>
      </c>
      <c r="Q20" s="45" t="s">
        <v>333</v>
      </c>
      <c r="R20" s="18" t="s">
        <v>116</v>
      </c>
      <c r="S20" s="18" t="str">
        <f>IFERROR(VLOOKUP(Tabela1[[#This Row],[Cód. Causa]],'Base de Dados'!$O$2:$P$21,2,0),"")</f>
        <v xml:space="preserve">EQUIPAMENTO TRABALHANDO COM CARGA EXCESSIVA </v>
      </c>
      <c r="T20" s="18" t="str">
        <f>IFERROR(VLOOKUP(Tabela1[[#This Row],[Tag]],'Base de Dados'!$B$2:$C$64,2,0),"")</f>
        <v>CORTE DO TETO  - WATER JET 2</v>
      </c>
      <c r="U20" s="18" t="str">
        <f>IFERROR(VLOOKUP(Tabela1[[#This Row],[Tag]],'Base de Dados'!V20:W72,2,0),"")</f>
        <v>UTE-03</v>
      </c>
      <c r="V20" s="18">
        <f>DAY(Tabela1[[#This Row],[Data]])</f>
        <v>3</v>
      </c>
      <c r="W20" s="18">
        <f>MONTH(Tabela1[[#This Row],[Data]])</f>
        <v>11</v>
      </c>
      <c r="X20" s="18">
        <f>YEAR(Tabela1[[#This Row],[Data]])</f>
        <v>2022</v>
      </c>
    </row>
    <row r="21" spans="1:24" hidden="1" x14ac:dyDescent="0.25">
      <c r="A21" s="22">
        <v>12184</v>
      </c>
      <c r="B21" s="21">
        <v>44868</v>
      </c>
      <c r="C21" s="23">
        <v>739</v>
      </c>
      <c r="D21" s="24"/>
      <c r="E21" s="24"/>
      <c r="F21" s="24"/>
      <c r="G21" s="18" t="str">
        <f>IFERROR(VLOOKUP(Tabela1[[#This Row],[Mat. 1]],'Base de Dados'!$I$5:$J$21,2,0),"")</f>
        <v>DANILLO</v>
      </c>
      <c r="H21" s="18" t="str">
        <f>IFERROR(VLOOKUP(Tabela1[[#This Row],[Mat. 2]],'Base de Dados'!$I$5:$J$21,2,0),"")</f>
        <v/>
      </c>
      <c r="I21" s="18" t="str">
        <f>IFERROR(VLOOKUP(Tabela1[[#This Row],[Mat. 3]],'Base de Dados'!$I$5:$J$21,2,0),"")</f>
        <v/>
      </c>
      <c r="J21" s="18" t="str">
        <f>IFERROR(VLOOKUP(Tabela1[[#This Row],[Mat. 4]],'Base de Dados'!$I$5:$J$21,2,0),"")</f>
        <v/>
      </c>
      <c r="K21" s="18" t="str">
        <f>IFERROR(VLOOKUP(Tabela1[[#This Row],[Mat. 1]],'Base de Dados'!$I$2:$M$21,5,0),"")</f>
        <v>1º</v>
      </c>
      <c r="L21" s="18" t="s">
        <v>53</v>
      </c>
      <c r="M21" s="18" t="s">
        <v>316</v>
      </c>
      <c r="N21" s="18" t="s">
        <v>558</v>
      </c>
      <c r="O21" s="18">
        <v>0</v>
      </c>
      <c r="P21" s="18">
        <v>20</v>
      </c>
      <c r="Q21" s="45" t="s">
        <v>334</v>
      </c>
      <c r="R21" s="18" t="s">
        <v>116</v>
      </c>
      <c r="S21" s="18" t="str">
        <f>IFERROR(VLOOKUP(Tabela1[[#This Row],[Cód. Causa]],'Base de Dados'!$O$2:$P$21,2,0),"")</f>
        <v xml:space="preserve">EQUIPAMENTO TRABALHANDO COM CARGA EXCESSIVA </v>
      </c>
      <c r="T21" s="18" t="str">
        <f>IFERROR(VLOOKUP(Tabela1[[#This Row],[Tag]],'Base de Dados'!$B$2:$C$64,2,0),"")</f>
        <v>PRENSA CORTE INNER DASH</v>
      </c>
      <c r="U21" s="18" t="str">
        <f>IFERROR(VLOOKUP(Tabela1[[#This Row],[Tag]],'Base de Dados'!V21:W73,2,0),"")</f>
        <v/>
      </c>
      <c r="V21" s="18">
        <f>DAY(Tabela1[[#This Row],[Data]])</f>
        <v>3</v>
      </c>
      <c r="W21" s="18">
        <f>MONTH(Tabela1[[#This Row],[Data]])</f>
        <v>11</v>
      </c>
      <c r="X21" s="18">
        <f>YEAR(Tabela1[[#This Row],[Data]])</f>
        <v>2022</v>
      </c>
    </row>
    <row r="22" spans="1:24" hidden="1" x14ac:dyDescent="0.25">
      <c r="A22" s="22">
        <v>12614</v>
      </c>
      <c r="B22" s="21">
        <v>44868</v>
      </c>
      <c r="C22" s="23">
        <v>73</v>
      </c>
      <c r="D22" s="24"/>
      <c r="E22" s="24"/>
      <c r="F22" s="24"/>
      <c r="G22" s="18" t="str">
        <f>IFERROR(VLOOKUP(Tabela1[[#This Row],[Mat. 1]],'Base de Dados'!$I$5:$J$21,2,0),"")</f>
        <v>VALDEMAR</v>
      </c>
      <c r="H22" s="18" t="str">
        <f>IFERROR(VLOOKUP(Tabela1[[#This Row],[Mat. 2]],'Base de Dados'!$I$5:$J$21,2,0),"")</f>
        <v/>
      </c>
      <c r="I22" s="18" t="str">
        <f>IFERROR(VLOOKUP(Tabela1[[#This Row],[Mat. 3]],'Base de Dados'!$I$5:$J$21,2,0),"")</f>
        <v/>
      </c>
      <c r="J22" s="18" t="str">
        <f>IFERROR(VLOOKUP(Tabela1[[#This Row],[Mat. 4]],'Base de Dados'!$I$5:$J$21,2,0),"")</f>
        <v/>
      </c>
      <c r="K22" s="18" t="str">
        <f>IFERROR(VLOOKUP(Tabela1[[#This Row],[Mat. 1]],'Base de Dados'!$I$2:$M$21,5,0),"")</f>
        <v>3º</v>
      </c>
      <c r="L22" s="18" t="s">
        <v>141</v>
      </c>
      <c r="M22" s="18" t="s">
        <v>316</v>
      </c>
      <c r="N22" s="18" t="s">
        <v>558</v>
      </c>
      <c r="O22" s="18">
        <v>25</v>
      </c>
      <c r="P22" s="18">
        <v>0</v>
      </c>
      <c r="Q22" s="45" t="s">
        <v>259</v>
      </c>
      <c r="R22" s="18" t="s">
        <v>116</v>
      </c>
      <c r="S22" s="18" t="str">
        <f>IFERROR(VLOOKUP(Tabela1[[#This Row],[Cód. Causa]],'Base de Dados'!$O$2:$P$21,2,0),"")</f>
        <v xml:space="preserve">EQUIPAMENTO TRABALHANDO COM CARGA EXCESSIVA </v>
      </c>
      <c r="T22" s="18" t="str">
        <f>IFERROR(VLOOKUP(Tabela1[[#This Row],[Tag]],'Base de Dados'!$B$2:$C$64,2,0),"")</f>
        <v>CORTE DO TETO  - WATER JET 2</v>
      </c>
      <c r="U22" s="18" t="str">
        <f>IFERROR(VLOOKUP(Tabela1[[#This Row],[Tag]],'Base de Dados'!V22:W74,2,0),"")</f>
        <v>UTE-03</v>
      </c>
      <c r="V22" s="18">
        <f>DAY(Tabela1[[#This Row],[Data]])</f>
        <v>3</v>
      </c>
      <c r="W22" s="18">
        <f>MONTH(Tabela1[[#This Row],[Data]])</f>
        <v>11</v>
      </c>
      <c r="X22" s="18">
        <f>YEAR(Tabela1[[#This Row],[Data]])</f>
        <v>2022</v>
      </c>
    </row>
    <row r="23" spans="1:24" hidden="1" x14ac:dyDescent="0.25">
      <c r="A23" s="22">
        <v>12636</v>
      </c>
      <c r="B23" s="21">
        <v>44868</v>
      </c>
      <c r="C23" s="23">
        <v>73</v>
      </c>
      <c r="D23" s="24"/>
      <c r="E23" s="24"/>
      <c r="F23" s="24"/>
      <c r="G23" s="18" t="str">
        <f>IFERROR(VLOOKUP(Tabela1[[#This Row],[Mat. 1]],'Base de Dados'!$I$5:$J$21,2,0),"")</f>
        <v>VALDEMAR</v>
      </c>
      <c r="H23" s="18" t="str">
        <f>IFERROR(VLOOKUP(Tabela1[[#This Row],[Mat. 2]],'Base de Dados'!$I$5:$J$21,2,0),"")</f>
        <v/>
      </c>
      <c r="I23" s="18" t="str">
        <f>IFERROR(VLOOKUP(Tabela1[[#This Row],[Mat. 3]],'Base de Dados'!$I$5:$J$21,2,0),"")</f>
        <v/>
      </c>
      <c r="J23" s="18" t="str">
        <f>IFERROR(VLOOKUP(Tabela1[[#This Row],[Mat. 4]],'Base de Dados'!$I$5:$J$21,2,0),"")</f>
        <v/>
      </c>
      <c r="K23" s="18" t="str">
        <f>IFERROR(VLOOKUP(Tabela1[[#This Row],[Mat. 1]],'Base de Dados'!$I$2:$M$21,5,0),"")</f>
        <v>3º</v>
      </c>
      <c r="L23" s="18" t="s">
        <v>98</v>
      </c>
      <c r="M23" s="18" t="s">
        <v>316</v>
      </c>
      <c r="N23" s="18" t="s">
        <v>558</v>
      </c>
      <c r="O23" s="18">
        <v>27</v>
      </c>
      <c r="P23" s="18">
        <v>0</v>
      </c>
      <c r="Q23" s="45" t="s">
        <v>335</v>
      </c>
      <c r="R23" s="18" t="s">
        <v>116</v>
      </c>
      <c r="S23" s="18" t="str">
        <f>IFERROR(VLOOKUP(Tabela1[[#This Row],[Cód. Causa]],'Base de Dados'!$O$2:$P$21,2,0),"")</f>
        <v xml:space="preserve">EQUIPAMENTO TRABALHANDO COM CARGA EXCESSIVA </v>
      </c>
      <c r="T23" s="18" t="str">
        <f>IFERROR(VLOOKUP(Tabela1[[#This Row],[Tag]],'Base de Dados'!$B$2:$C$64,2,0),"")</f>
        <v>PRENSA MOLDAGEM 1</v>
      </c>
      <c r="U23" s="18" t="str">
        <f>IFERROR(VLOOKUP(Tabela1[[#This Row],[Tag]],'Base de Dados'!V23:W75,2,0),"")</f>
        <v/>
      </c>
      <c r="V23" s="18">
        <f>DAY(Tabela1[[#This Row],[Data]])</f>
        <v>3</v>
      </c>
      <c r="W23" s="18">
        <f>MONTH(Tabela1[[#This Row],[Data]])</f>
        <v>11</v>
      </c>
      <c r="X23" s="18">
        <f>YEAR(Tabela1[[#This Row],[Data]])</f>
        <v>2022</v>
      </c>
    </row>
    <row r="24" spans="1:24" hidden="1" x14ac:dyDescent="0.25">
      <c r="A24" s="22">
        <v>12637</v>
      </c>
      <c r="B24" s="21">
        <v>44868</v>
      </c>
      <c r="C24" s="23">
        <v>782</v>
      </c>
      <c r="D24" s="24"/>
      <c r="E24" s="24"/>
      <c r="F24" s="24"/>
      <c r="G24" s="18" t="str">
        <f>IFERROR(VLOOKUP(Tabela1[[#This Row],[Mat. 1]],'Base de Dados'!$I$5:$J$21,2,0),"")</f>
        <v>JOSÉ</v>
      </c>
      <c r="H24" s="18" t="str">
        <f>IFERROR(VLOOKUP(Tabela1[[#This Row],[Mat. 2]],'Base de Dados'!$I$5:$J$21,2,0),"")</f>
        <v/>
      </c>
      <c r="I24" s="18" t="str">
        <f>IFERROR(VLOOKUP(Tabela1[[#This Row],[Mat. 3]],'Base de Dados'!$I$5:$J$21,2,0),"")</f>
        <v/>
      </c>
      <c r="J24" s="18" t="str">
        <f>IFERROR(VLOOKUP(Tabela1[[#This Row],[Mat. 4]],'Base de Dados'!$I$5:$J$21,2,0),"")</f>
        <v/>
      </c>
      <c r="K24" s="18" t="str">
        <f>IFERROR(VLOOKUP(Tabela1[[#This Row],[Mat. 1]],'Base de Dados'!$I$2:$M$21,5,0),"")</f>
        <v>3º</v>
      </c>
      <c r="L24" s="18" t="s">
        <v>91</v>
      </c>
      <c r="M24" s="18" t="s">
        <v>313</v>
      </c>
      <c r="N24" s="18" t="s">
        <v>558</v>
      </c>
      <c r="O24" s="18">
        <v>5</v>
      </c>
      <c r="P24" s="18">
        <v>0</v>
      </c>
      <c r="Q24" s="45" t="s">
        <v>336</v>
      </c>
      <c r="R24" s="18" t="s">
        <v>34</v>
      </c>
      <c r="S24" s="18" t="str">
        <f>IFERROR(VLOOKUP(Tabela1[[#This Row],[Cód. Causa]],'Base de Dados'!$O$2:$P$21,2,0),"")</f>
        <v>FALHA EM COMPONENTES ELETRONICO</v>
      </c>
      <c r="T24" s="18" t="str">
        <f>IFERROR(VLOOKUP(Tabela1[[#This Row],[Tag]],'Base de Dados'!$B$2:$C$64,2,0),"")</f>
        <v>TERMOFORMAGEM GLASUTEC</v>
      </c>
      <c r="U24" s="18" t="str">
        <f>IFERROR(VLOOKUP(Tabela1[[#This Row],[Tag]],'Base de Dados'!V24:W76,2,0),"")</f>
        <v/>
      </c>
      <c r="V24" s="18">
        <f>DAY(Tabela1[[#This Row],[Data]])</f>
        <v>3</v>
      </c>
      <c r="W24" s="18">
        <f>MONTH(Tabela1[[#This Row],[Data]])</f>
        <v>11</v>
      </c>
      <c r="X24" s="18">
        <f>YEAR(Tabela1[[#This Row],[Data]])</f>
        <v>2022</v>
      </c>
    </row>
    <row r="25" spans="1:24" hidden="1" x14ac:dyDescent="0.25">
      <c r="A25" s="22">
        <v>12749</v>
      </c>
      <c r="B25" s="21">
        <v>44868</v>
      </c>
      <c r="C25" s="23">
        <v>493</v>
      </c>
      <c r="D25" s="24"/>
      <c r="E25" s="24"/>
      <c r="F25" s="24"/>
      <c r="G25" s="18" t="str">
        <f>IFERROR(VLOOKUP(Tabela1[[#This Row],[Mat. 1]],'Base de Dados'!$I$5:$J$21,2,0),"")</f>
        <v>ELIAS</v>
      </c>
      <c r="H25" s="18" t="str">
        <f>IFERROR(VLOOKUP(Tabela1[[#This Row],[Mat. 2]],'Base de Dados'!$I$5:$J$21,2,0),"")</f>
        <v/>
      </c>
      <c r="I25" s="18" t="str">
        <f>IFERROR(VLOOKUP(Tabela1[[#This Row],[Mat. 3]],'Base de Dados'!$I$5:$J$21,2,0),"")</f>
        <v/>
      </c>
      <c r="J25" s="18" t="str">
        <f>IFERROR(VLOOKUP(Tabela1[[#This Row],[Mat. 4]],'Base de Dados'!$I$5:$J$21,2,0),"")</f>
        <v/>
      </c>
      <c r="K25" s="18" t="str">
        <f>IFERROR(VLOOKUP(Tabela1[[#This Row],[Mat. 1]],'Base de Dados'!$I$2:$M$21,5,0),"")</f>
        <v>1º</v>
      </c>
      <c r="L25" s="18" t="s">
        <v>73</v>
      </c>
      <c r="M25" s="18" t="s">
        <v>316</v>
      </c>
      <c r="N25" s="18" t="s">
        <v>558</v>
      </c>
      <c r="O25" s="18">
        <v>59</v>
      </c>
      <c r="P25" s="18">
        <v>0</v>
      </c>
      <c r="Q25" s="45" t="s">
        <v>337</v>
      </c>
      <c r="R25" s="18" t="s">
        <v>116</v>
      </c>
      <c r="S25" s="18" t="str">
        <f>IFERROR(VLOOKUP(Tabela1[[#This Row],[Cód. Causa]],'Base de Dados'!$O$2:$P$21,2,0),"")</f>
        <v xml:space="preserve">EQUIPAMENTO TRABALHANDO COM CARGA EXCESSIVA </v>
      </c>
      <c r="T25" s="18" t="str">
        <f>IFERROR(VLOOKUP(Tabela1[[#This Row],[Tag]],'Base de Dados'!$B$2:$C$64,2,0),"")</f>
        <v>PRENSA COM INJEÇÃO PU INNER 02</v>
      </c>
      <c r="U25" s="18" t="str">
        <f>IFERROR(VLOOKUP(Tabela1[[#This Row],[Tag]],'Base de Dados'!V25:W77,2,0),"")</f>
        <v/>
      </c>
      <c r="V25" s="18">
        <f>DAY(Tabela1[[#This Row],[Data]])</f>
        <v>3</v>
      </c>
      <c r="W25" s="18">
        <f>MONTH(Tabela1[[#This Row],[Data]])</f>
        <v>11</v>
      </c>
      <c r="X25" s="18">
        <f>YEAR(Tabela1[[#This Row],[Data]])</f>
        <v>2022</v>
      </c>
    </row>
    <row r="26" spans="1:24" hidden="1" x14ac:dyDescent="0.25">
      <c r="A26" s="22">
        <v>12787</v>
      </c>
      <c r="B26" s="21">
        <v>44868</v>
      </c>
      <c r="C26" s="23">
        <v>782</v>
      </c>
      <c r="D26" s="24">
        <v>73</v>
      </c>
      <c r="E26" s="24"/>
      <c r="F26" s="24"/>
      <c r="G26" s="18" t="str">
        <f>IFERROR(VLOOKUP(Tabela1[[#This Row],[Mat. 1]],'Base de Dados'!$I$5:$J$21,2,0),"")</f>
        <v>JOSÉ</v>
      </c>
      <c r="H26" s="18" t="str">
        <f>IFERROR(VLOOKUP(Tabela1[[#This Row],[Mat. 2]],'Base de Dados'!$I$5:$J$21,2,0),"")</f>
        <v>VALDEMAR</v>
      </c>
      <c r="I26" s="18" t="str">
        <f>IFERROR(VLOOKUP(Tabela1[[#This Row],[Mat. 3]],'Base de Dados'!$I$5:$J$21,2,0),"")</f>
        <v/>
      </c>
      <c r="J26" s="18" t="str">
        <f>IFERROR(VLOOKUP(Tabela1[[#This Row],[Mat. 4]],'Base de Dados'!$I$5:$J$21,2,0),"")</f>
        <v/>
      </c>
      <c r="K26" s="18" t="str">
        <f>IFERROR(VLOOKUP(Tabela1[[#This Row],[Mat. 1]],'Base de Dados'!$I$2:$M$21,5,0),"")</f>
        <v>3º</v>
      </c>
      <c r="L26" s="18" t="s">
        <v>175</v>
      </c>
      <c r="M26" s="18" t="s">
        <v>313</v>
      </c>
      <c r="N26" s="18" t="s">
        <v>558</v>
      </c>
      <c r="O26" s="18"/>
      <c r="P26" s="18"/>
      <c r="Q26" s="45"/>
      <c r="R26" s="18"/>
      <c r="S26" s="18" t="str">
        <f>IFERROR(VLOOKUP(Tabela1[[#This Row],[Cód. Causa]],'Base de Dados'!$O$2:$P$21,2,0),"")</f>
        <v/>
      </c>
      <c r="T26" s="18" t="str">
        <f>IFERROR(VLOOKUP(Tabela1[[#This Row],[Tag]],'Base de Dados'!$B$2:$C$64,2,0),"")</f>
        <v>PRENSA SOLDA BATE PÉ</v>
      </c>
      <c r="U26" s="18" t="str">
        <f>IFERROR(VLOOKUP(Tabela1[[#This Row],[Tag]],'Base de Dados'!V26:W78,2,0),"")</f>
        <v>UTE-05</v>
      </c>
      <c r="V26" s="18">
        <f>DAY(Tabela1[[#This Row],[Data]])</f>
        <v>3</v>
      </c>
      <c r="W26" s="18">
        <f>MONTH(Tabela1[[#This Row],[Data]])</f>
        <v>11</v>
      </c>
      <c r="X26" s="18">
        <f>YEAR(Tabela1[[#This Row],[Data]])</f>
        <v>2022</v>
      </c>
    </row>
    <row r="27" spans="1:24" hidden="1" x14ac:dyDescent="0.25">
      <c r="A27" s="22">
        <v>13962</v>
      </c>
      <c r="B27" s="21">
        <v>44868</v>
      </c>
      <c r="C27" s="23">
        <v>435</v>
      </c>
      <c r="D27" s="24"/>
      <c r="E27" s="24"/>
      <c r="F27" s="24"/>
      <c r="G27" s="18" t="str">
        <f>IFERROR(VLOOKUP(Tabela1[[#This Row],[Mat. 1]],'Base de Dados'!$I$5:$J$21,2,0),"")</f>
        <v>SILVIO</v>
      </c>
      <c r="H27" s="18" t="str">
        <f>IFERROR(VLOOKUP(Tabela1[[#This Row],[Mat. 2]],'Base de Dados'!$I$5:$J$21,2,0),"")</f>
        <v/>
      </c>
      <c r="I27" s="18" t="str">
        <f>IFERROR(VLOOKUP(Tabela1[[#This Row],[Mat. 3]],'Base de Dados'!$I$5:$J$21,2,0),"")</f>
        <v/>
      </c>
      <c r="J27" s="18" t="str">
        <f>IFERROR(VLOOKUP(Tabela1[[#This Row],[Mat. 4]],'Base de Dados'!$I$5:$J$21,2,0),"")</f>
        <v/>
      </c>
      <c r="K27" s="18" t="str">
        <f>IFERROR(VLOOKUP(Tabela1[[#This Row],[Mat. 1]],'Base de Dados'!$I$2:$M$21,5,0),"")</f>
        <v>1º</v>
      </c>
      <c r="L27" s="18" t="s">
        <v>79</v>
      </c>
      <c r="M27" s="18" t="s">
        <v>313</v>
      </c>
      <c r="N27" s="18" t="s">
        <v>558</v>
      </c>
      <c r="O27" s="18">
        <v>60</v>
      </c>
      <c r="P27" s="18">
        <v>0</v>
      </c>
      <c r="Q27" s="45" t="s">
        <v>338</v>
      </c>
      <c r="R27" s="18" t="s">
        <v>34</v>
      </c>
      <c r="S27" s="18" t="str">
        <f>IFERROR(VLOOKUP(Tabela1[[#This Row],[Cód. Causa]],'Base de Dados'!$O$2:$P$21,2,0),"")</f>
        <v>FALHA EM COMPONENTES ELETRONICO</v>
      </c>
      <c r="T27" s="18" t="str">
        <f>IFERROR(VLOOKUP(Tabela1[[#This Row],[Tag]],'Base de Dados'!$B$2:$C$64,2,0),"")</f>
        <v>PRENSA COM INJEÇÃO PU INNER 03</v>
      </c>
      <c r="U27" s="18" t="str">
        <f>IFERROR(VLOOKUP(Tabela1[[#This Row],[Tag]],'Base de Dados'!V27:W79,2,0),"")</f>
        <v/>
      </c>
      <c r="V27" s="18">
        <f>DAY(Tabela1[[#This Row],[Data]])</f>
        <v>3</v>
      </c>
      <c r="W27" s="18">
        <f>MONTH(Tabela1[[#This Row],[Data]])</f>
        <v>11</v>
      </c>
      <c r="X27" s="18">
        <f>YEAR(Tabela1[[#This Row],[Data]])</f>
        <v>2022</v>
      </c>
    </row>
    <row r="28" spans="1:24" hidden="1" x14ac:dyDescent="0.25">
      <c r="A28" s="22">
        <v>12186</v>
      </c>
      <c r="B28" s="21">
        <v>44869</v>
      </c>
      <c r="C28" s="23">
        <v>435</v>
      </c>
      <c r="D28" s="24"/>
      <c r="E28" s="24"/>
      <c r="F28" s="24"/>
      <c r="G28" s="18" t="str">
        <f>IFERROR(VLOOKUP(Tabela1[[#This Row],[Mat. 1]],'Base de Dados'!$I$5:$J$21,2,0),"")</f>
        <v>SILVIO</v>
      </c>
      <c r="H28" s="18" t="str">
        <f>IFERROR(VLOOKUP(Tabela1[[#This Row],[Mat. 2]],'Base de Dados'!$I$5:$J$21,2,0),"")</f>
        <v/>
      </c>
      <c r="I28" s="18" t="str">
        <f>IFERROR(VLOOKUP(Tabela1[[#This Row],[Mat. 3]],'Base de Dados'!$I$5:$J$21,2,0),"")</f>
        <v/>
      </c>
      <c r="J28" s="18" t="str">
        <f>IFERROR(VLOOKUP(Tabela1[[#This Row],[Mat. 4]],'Base de Dados'!$I$5:$J$21,2,0),"")</f>
        <v/>
      </c>
      <c r="K28" s="18" t="str">
        <f>IFERROR(VLOOKUP(Tabela1[[#This Row],[Mat. 1]],'Base de Dados'!$I$2:$M$21,5,0),"")</f>
        <v>1º</v>
      </c>
      <c r="L28" s="18" t="s">
        <v>91</v>
      </c>
      <c r="M28" s="18" t="s">
        <v>313</v>
      </c>
      <c r="N28" s="18" t="s">
        <v>558</v>
      </c>
      <c r="O28" s="18">
        <v>30</v>
      </c>
      <c r="P28" s="18">
        <v>0</v>
      </c>
      <c r="Q28" s="45" t="s">
        <v>339</v>
      </c>
      <c r="R28" s="18" t="s">
        <v>34</v>
      </c>
      <c r="S28" s="18" t="str">
        <f>IFERROR(VLOOKUP(Tabela1[[#This Row],[Cód. Causa]],'Base de Dados'!$O$2:$P$21,2,0),"")</f>
        <v>FALHA EM COMPONENTES ELETRONICO</v>
      </c>
      <c r="T28" s="18" t="str">
        <f>IFERROR(VLOOKUP(Tabela1[[#This Row],[Tag]],'Base de Dados'!$B$2:$C$64,2,0),"")</f>
        <v>TERMOFORMAGEM GLASUTEC</v>
      </c>
      <c r="U28" s="18" t="str">
        <f>IFERROR(VLOOKUP(Tabela1[[#This Row],[Tag]],'Base de Dados'!V28:W80,2,0),"")</f>
        <v/>
      </c>
      <c r="V28" s="18">
        <f>DAY(Tabela1[[#This Row],[Data]])</f>
        <v>4</v>
      </c>
      <c r="W28" s="18">
        <f>MONTH(Tabela1[[#This Row],[Data]])</f>
        <v>11</v>
      </c>
      <c r="X28" s="18">
        <f>YEAR(Tabela1[[#This Row],[Data]])</f>
        <v>2022</v>
      </c>
    </row>
    <row r="29" spans="1:24" hidden="1" x14ac:dyDescent="0.25">
      <c r="A29" s="22">
        <v>12498</v>
      </c>
      <c r="B29" s="21">
        <v>44869</v>
      </c>
      <c r="C29" s="23">
        <v>248</v>
      </c>
      <c r="D29" s="24">
        <v>267</v>
      </c>
      <c r="E29" s="24">
        <v>540</v>
      </c>
      <c r="F29" s="24">
        <v>631</v>
      </c>
      <c r="G29" s="18" t="str">
        <f>IFERROR(VLOOKUP(Tabela1[[#This Row],[Mat. 1]],'Base de Dados'!$I$5:$J$21,2,0),"")</f>
        <v>RUIGUENS</v>
      </c>
      <c r="H29" s="18" t="str">
        <f>IFERROR(VLOOKUP(Tabela1[[#This Row],[Mat. 2]],'Base de Dados'!$I$5:$J$21,2,0),"")</f>
        <v/>
      </c>
      <c r="I29" s="18" t="str">
        <f>IFERROR(VLOOKUP(Tabela1[[#This Row],[Mat. 3]],'Base de Dados'!$I$5:$J$21,2,0),"")</f>
        <v>ANDERSON</v>
      </c>
      <c r="J29" s="18" t="str">
        <f>IFERROR(VLOOKUP(Tabela1[[#This Row],[Mat. 4]],'Base de Dados'!$I$5:$J$21,2,0),"")</f>
        <v>JOSINALDO</v>
      </c>
      <c r="K29" s="18" t="str">
        <f>IFERROR(VLOOKUP(Tabela1[[#This Row],[Mat. 1]],'Base de Dados'!$I$2:$M$21,5,0),"")</f>
        <v>2º</v>
      </c>
      <c r="L29" s="18" t="s">
        <v>53</v>
      </c>
      <c r="M29" s="18" t="s">
        <v>313</v>
      </c>
      <c r="N29" s="18" t="s">
        <v>558</v>
      </c>
      <c r="O29" s="18">
        <v>40</v>
      </c>
      <c r="P29" s="18">
        <v>0</v>
      </c>
      <c r="Q29" s="45" t="s">
        <v>340</v>
      </c>
      <c r="R29" s="18" t="s">
        <v>34</v>
      </c>
      <c r="S29" s="18" t="str">
        <f>IFERROR(VLOOKUP(Tabela1[[#This Row],[Cód. Causa]],'Base de Dados'!$O$2:$P$21,2,0),"")</f>
        <v>FALHA EM COMPONENTES ELETRONICO</v>
      </c>
      <c r="T29" s="18" t="str">
        <f>IFERROR(VLOOKUP(Tabela1[[#This Row],[Tag]],'Base de Dados'!$B$2:$C$64,2,0),"")</f>
        <v>PRENSA CORTE INNER DASH</v>
      </c>
      <c r="U29" s="18" t="str">
        <f>IFERROR(VLOOKUP(Tabela1[[#This Row],[Tag]],'Base de Dados'!V29:W81,2,0),"")</f>
        <v/>
      </c>
      <c r="V29" s="18">
        <f>DAY(Tabela1[[#This Row],[Data]])</f>
        <v>4</v>
      </c>
      <c r="W29" s="18">
        <f>MONTH(Tabela1[[#This Row],[Data]])</f>
        <v>11</v>
      </c>
      <c r="X29" s="18">
        <f>YEAR(Tabela1[[#This Row],[Data]])</f>
        <v>2022</v>
      </c>
    </row>
    <row r="30" spans="1:24" hidden="1" x14ac:dyDescent="0.25">
      <c r="A30" s="22">
        <v>12550</v>
      </c>
      <c r="B30" s="21">
        <v>44869</v>
      </c>
      <c r="C30" s="23">
        <v>677</v>
      </c>
      <c r="D30" s="24">
        <v>631</v>
      </c>
      <c r="E30" s="24">
        <v>267</v>
      </c>
      <c r="F30" s="24">
        <v>540</v>
      </c>
      <c r="G30" s="18" t="str">
        <f>IFERROR(VLOOKUP(Tabela1[[#This Row],[Mat. 1]],'Base de Dados'!$I$5:$J$21,2,0),"")</f>
        <v>RAFAEL</v>
      </c>
      <c r="H30" s="18" t="str">
        <f>IFERROR(VLOOKUP(Tabela1[[#This Row],[Mat. 2]],'Base de Dados'!$I$5:$J$21,2,0),"")</f>
        <v>JOSINALDO</v>
      </c>
      <c r="I30" s="18" t="str">
        <f>IFERROR(VLOOKUP(Tabela1[[#This Row],[Mat. 3]],'Base de Dados'!$I$5:$J$21,2,0),"")</f>
        <v/>
      </c>
      <c r="J30" s="18" t="str">
        <f>IFERROR(VLOOKUP(Tabela1[[#This Row],[Mat. 4]],'Base de Dados'!$I$5:$J$21,2,0),"")</f>
        <v>ANDERSON</v>
      </c>
      <c r="K30" s="18" t="str">
        <f>IFERROR(VLOOKUP(Tabela1[[#This Row],[Mat. 1]],'Base de Dados'!$I$2:$M$21,5,0),"")</f>
        <v>2º</v>
      </c>
      <c r="L30" s="18" t="s">
        <v>168</v>
      </c>
      <c r="M30" s="18" t="s">
        <v>313</v>
      </c>
      <c r="N30" s="18" t="s">
        <v>558</v>
      </c>
      <c r="O30" s="18">
        <v>20</v>
      </c>
      <c r="P30" s="18">
        <v>0</v>
      </c>
      <c r="Q30" s="45" t="s">
        <v>341</v>
      </c>
      <c r="R30" s="18" t="s">
        <v>34</v>
      </c>
      <c r="S30" s="18" t="str">
        <f>IFERROR(VLOOKUP(Tabela1[[#This Row],[Cód. Causa]],'Base de Dados'!$O$2:$P$21,2,0),"")</f>
        <v>FALHA EM COMPONENTES ELETRONICO</v>
      </c>
      <c r="T30" s="18" t="str">
        <f>IFERROR(VLOOKUP(Tabela1[[#This Row],[Tag]],'Base de Dados'!$B$2:$C$64,2,0),"")</f>
        <v>PRENSA CORTE TUNNEL</v>
      </c>
      <c r="U30" s="18" t="str">
        <f>IFERROR(VLOOKUP(Tabela1[[#This Row],[Tag]],'Base de Dados'!V30:W82,2,0),"")</f>
        <v>UTE-04</v>
      </c>
      <c r="V30" s="18">
        <f>DAY(Tabela1[[#This Row],[Data]])</f>
        <v>4</v>
      </c>
      <c r="W30" s="18">
        <f>MONTH(Tabela1[[#This Row],[Data]])</f>
        <v>11</v>
      </c>
      <c r="X30" s="18">
        <f>YEAR(Tabela1[[#This Row],[Data]])</f>
        <v>2022</v>
      </c>
    </row>
    <row r="31" spans="1:24" hidden="1" x14ac:dyDescent="0.25">
      <c r="A31" s="22">
        <v>12792</v>
      </c>
      <c r="B31" s="21">
        <v>44869</v>
      </c>
      <c r="C31" s="23">
        <v>15</v>
      </c>
      <c r="D31" s="24"/>
      <c r="E31" s="24"/>
      <c r="F31" s="24"/>
      <c r="G31" s="18" t="str">
        <f>IFERROR(VLOOKUP(Tabela1[[#This Row],[Mat. 1]],'Base de Dados'!$I$5:$J$21,2,0),"")</f>
        <v>ROBERT</v>
      </c>
      <c r="H31" s="18" t="str">
        <f>IFERROR(VLOOKUP(Tabela1[[#This Row],[Mat. 2]],'Base de Dados'!$I$5:$J$21,2,0),"")</f>
        <v/>
      </c>
      <c r="I31" s="18" t="str">
        <f>IFERROR(VLOOKUP(Tabela1[[#This Row],[Mat. 3]],'Base de Dados'!$I$5:$J$21,2,0),"")</f>
        <v/>
      </c>
      <c r="J31" s="18" t="str">
        <f>IFERROR(VLOOKUP(Tabela1[[#This Row],[Mat. 4]],'Base de Dados'!$I$5:$J$21,2,0),"")</f>
        <v/>
      </c>
      <c r="K31" s="18" t="str">
        <f>IFERROR(VLOOKUP(Tabela1[[#This Row],[Mat. 1]],'Base de Dados'!$I$2:$M$21,5,0),"")</f>
        <v>1º</v>
      </c>
      <c r="L31" s="18" t="s">
        <v>185</v>
      </c>
      <c r="M31" s="18" t="s">
        <v>316</v>
      </c>
      <c r="N31" s="18" t="s">
        <v>558</v>
      </c>
      <c r="O31" s="18">
        <v>0</v>
      </c>
      <c r="P31" s="18">
        <v>13</v>
      </c>
      <c r="Q31" s="45" t="s">
        <v>260</v>
      </c>
      <c r="R31" s="18" t="s">
        <v>116</v>
      </c>
      <c r="S31" s="18" t="str">
        <f>IFERROR(VLOOKUP(Tabela1[[#This Row],[Cód. Causa]],'Base de Dados'!$O$2:$P$21,2,0),"")</f>
        <v xml:space="preserve">EQUIPAMENTO TRABALHANDO COM CARGA EXCESSIVA </v>
      </c>
      <c r="T31" s="18" t="str">
        <f>IFERROR(VLOOKUP(Tabela1[[#This Row],[Tag]],'Base de Dados'!$B$2:$C$64,2,0),"")</f>
        <v>CORTE DO CARPETE- WATER JET</v>
      </c>
      <c r="U31" s="18" t="str">
        <f>IFERROR(VLOOKUP(Tabela1[[#This Row],[Tag]],'Base de Dados'!V31:W83,2,0),"")</f>
        <v>UTE-05</v>
      </c>
      <c r="V31" s="18">
        <f>DAY(Tabela1[[#This Row],[Data]])</f>
        <v>4</v>
      </c>
      <c r="W31" s="18">
        <f>MONTH(Tabela1[[#This Row],[Data]])</f>
        <v>11</v>
      </c>
      <c r="X31" s="18">
        <f>YEAR(Tabela1[[#This Row],[Data]])</f>
        <v>2022</v>
      </c>
    </row>
    <row r="32" spans="1:24" hidden="1" x14ac:dyDescent="0.25">
      <c r="A32" s="22">
        <v>12824</v>
      </c>
      <c r="B32" s="21">
        <v>44869</v>
      </c>
      <c r="C32" s="23">
        <v>267</v>
      </c>
      <c r="D32" s="24"/>
      <c r="E32" s="24"/>
      <c r="F32" s="24"/>
      <c r="G32" s="18" t="str">
        <f>IFERROR(VLOOKUP(Tabela1[[#This Row],[Mat. 1]],'Base de Dados'!$I$5:$J$21,2,0),"")</f>
        <v/>
      </c>
      <c r="H32" s="18" t="str">
        <f>IFERROR(VLOOKUP(Tabela1[[#This Row],[Mat. 2]],'Base de Dados'!$I$5:$J$21,2,0),"")</f>
        <v/>
      </c>
      <c r="I32" s="18" t="str">
        <f>IFERROR(VLOOKUP(Tabela1[[#This Row],[Mat. 3]],'Base de Dados'!$I$5:$J$21,2,0),"")</f>
        <v/>
      </c>
      <c r="J32" s="18" t="str">
        <f>IFERROR(VLOOKUP(Tabela1[[#This Row],[Mat. 4]],'Base de Dados'!$I$5:$J$21,2,0),"")</f>
        <v/>
      </c>
      <c r="K32" s="18" t="str">
        <f>IFERROR(VLOOKUP(Tabela1[[#This Row],[Mat. 1]],'Base de Dados'!$I$2:$M$21,5,0),"")</f>
        <v>2º</v>
      </c>
      <c r="L32" s="18" t="s">
        <v>145</v>
      </c>
      <c r="M32" s="18" t="s">
        <v>313</v>
      </c>
      <c r="N32" s="18" t="s">
        <v>558</v>
      </c>
      <c r="O32" s="18">
        <v>10</v>
      </c>
      <c r="P32" s="18">
        <v>0</v>
      </c>
      <c r="Q32" s="45" t="s">
        <v>342</v>
      </c>
      <c r="R32" s="18" t="s">
        <v>34</v>
      </c>
      <c r="S32" s="18" t="str">
        <f>IFERROR(VLOOKUP(Tabela1[[#This Row],[Cód. Causa]],'Base de Dados'!$O$2:$P$21,2,0),"")</f>
        <v>FALHA EM COMPONENTES ELETRONICO</v>
      </c>
      <c r="T32" s="18" t="str">
        <f>IFERROR(VLOOKUP(Tabela1[[#This Row],[Tag]],'Base de Dados'!$B$2:$C$64,2,0),"")</f>
        <v>VIROLA DO TETO 521</v>
      </c>
      <c r="U32" s="18" t="str">
        <f>IFERROR(VLOOKUP(Tabela1[[#This Row],[Tag]],'Base de Dados'!V32:W84,2,0),"")</f>
        <v/>
      </c>
      <c r="V32" s="18">
        <f>DAY(Tabela1[[#This Row],[Data]])</f>
        <v>4</v>
      </c>
      <c r="W32" s="18">
        <f>MONTH(Tabela1[[#This Row],[Data]])</f>
        <v>11</v>
      </c>
      <c r="X32" s="18">
        <f>YEAR(Tabela1[[#This Row],[Data]])</f>
        <v>2022</v>
      </c>
    </row>
    <row r="33" spans="1:24" hidden="1" x14ac:dyDescent="0.25">
      <c r="A33" s="22">
        <v>12837</v>
      </c>
      <c r="B33" s="21">
        <v>44869</v>
      </c>
      <c r="C33" s="23">
        <v>248</v>
      </c>
      <c r="D33" s="24">
        <v>540</v>
      </c>
      <c r="E33" s="24"/>
      <c r="F33" s="24"/>
      <c r="G33" s="18" t="str">
        <f>IFERROR(VLOOKUP(Tabela1[[#This Row],[Mat. 1]],'Base de Dados'!$I$5:$J$21,2,0),"")</f>
        <v>RUIGUENS</v>
      </c>
      <c r="H33" s="18" t="str">
        <f>IFERROR(VLOOKUP(Tabela1[[#This Row],[Mat. 2]],'Base de Dados'!$I$5:$J$21,2,0),"")</f>
        <v>ANDERSON</v>
      </c>
      <c r="I33" s="18" t="str">
        <f>IFERROR(VLOOKUP(Tabela1[[#This Row],[Mat. 3]],'Base de Dados'!$I$5:$J$21,2,0),"")</f>
        <v/>
      </c>
      <c r="J33" s="18" t="str">
        <f>IFERROR(VLOOKUP(Tabela1[[#This Row],[Mat. 4]],'Base de Dados'!$I$5:$J$21,2,0),"")</f>
        <v/>
      </c>
      <c r="K33" s="18" t="str">
        <f>IFERROR(VLOOKUP(Tabela1[[#This Row],[Mat. 1]],'Base de Dados'!$I$2:$M$21,5,0),"")</f>
        <v>2º</v>
      </c>
      <c r="L33" s="18" t="s">
        <v>112</v>
      </c>
      <c r="M33" s="18" t="s">
        <v>316</v>
      </c>
      <c r="N33" s="18" t="s">
        <v>558</v>
      </c>
      <c r="O33" s="18">
        <v>20</v>
      </c>
      <c r="P33" s="18">
        <v>0</v>
      </c>
      <c r="Q33" s="45" t="s">
        <v>343</v>
      </c>
      <c r="R33" s="18" t="s">
        <v>116</v>
      </c>
      <c r="S33" s="18" t="str">
        <f>IFERROR(VLOOKUP(Tabela1[[#This Row],[Cód. Causa]],'Base de Dados'!$O$2:$P$21,2,0),"")</f>
        <v xml:space="preserve">EQUIPAMENTO TRABALHANDO COM CARGA EXCESSIVA </v>
      </c>
      <c r="T33" s="18" t="str">
        <f>IFERROR(VLOOKUP(Tabela1[[#This Row],[Tag]],'Base de Dados'!$B$2:$C$64,2,0),"")</f>
        <v>ROBÔ ABB APLIC. COLA DO TETO</v>
      </c>
      <c r="U33" s="18" t="str">
        <f>IFERROR(VLOOKUP(Tabela1[[#This Row],[Tag]],'Base de Dados'!V33:W85,2,0),"")</f>
        <v/>
      </c>
      <c r="V33" s="18">
        <f>DAY(Tabela1[[#This Row],[Data]])</f>
        <v>4</v>
      </c>
      <c r="W33" s="18">
        <f>MONTH(Tabela1[[#This Row],[Data]])</f>
        <v>11</v>
      </c>
      <c r="X33" s="18">
        <f>YEAR(Tabela1[[#This Row],[Data]])</f>
        <v>2022</v>
      </c>
    </row>
    <row r="34" spans="1:24" hidden="1" x14ac:dyDescent="0.25">
      <c r="A34" s="22">
        <v>12952</v>
      </c>
      <c r="B34" s="21">
        <v>44869</v>
      </c>
      <c r="C34" s="23">
        <v>592</v>
      </c>
      <c r="D34" s="24"/>
      <c r="E34" s="24"/>
      <c r="F34" s="24"/>
      <c r="G34" s="18" t="str">
        <f>IFERROR(VLOOKUP(Tabela1[[#This Row],[Mat. 1]],'Base de Dados'!$I$5:$J$21,2,0),"")</f>
        <v>CRISTIANO</v>
      </c>
      <c r="H34" s="18" t="str">
        <f>IFERROR(VLOOKUP(Tabela1[[#This Row],[Mat. 2]],'Base de Dados'!$I$5:$J$21,2,0),"")</f>
        <v/>
      </c>
      <c r="I34" s="18" t="str">
        <f>IFERROR(VLOOKUP(Tabela1[[#This Row],[Mat. 3]],'Base de Dados'!$I$5:$J$21,2,0),"")</f>
        <v/>
      </c>
      <c r="J34" s="18" t="str">
        <f>IFERROR(VLOOKUP(Tabela1[[#This Row],[Mat. 4]],'Base de Dados'!$I$5:$J$21,2,0),"")</f>
        <v/>
      </c>
      <c r="K34" s="18" t="str">
        <f>IFERROR(VLOOKUP(Tabela1[[#This Row],[Mat. 1]],'Base de Dados'!$I$2:$M$21,5,0),"")</f>
        <v>1º</v>
      </c>
      <c r="L34" s="18" t="s">
        <v>21</v>
      </c>
      <c r="M34" s="18" t="s">
        <v>316</v>
      </c>
      <c r="N34" s="18" t="s">
        <v>558</v>
      </c>
      <c r="O34" s="18">
        <v>60</v>
      </c>
      <c r="P34" s="18">
        <v>0</v>
      </c>
      <c r="Q34" s="45" t="s">
        <v>344</v>
      </c>
      <c r="R34" s="18" t="s">
        <v>116</v>
      </c>
      <c r="S34" s="18" t="str">
        <f>IFERROR(VLOOKUP(Tabela1[[#This Row],[Cód. Causa]],'Base de Dados'!$O$2:$P$21,2,0),"")</f>
        <v xml:space="preserve">EQUIPAMENTO TRABALHANDO COM CARGA EXCESSIVA </v>
      </c>
      <c r="T34" s="18" t="str">
        <f>IFERROR(VLOOKUP(Tabela1[[#This Row],[Tag]],'Base de Dados'!$B$2:$C$64,2,0),"")</f>
        <v>INJETORA LEV CELL</v>
      </c>
      <c r="U34" s="18" t="str">
        <f>IFERROR(VLOOKUP(Tabela1[[#This Row],[Tag]],'Base de Dados'!V34:W86,2,0),"")</f>
        <v/>
      </c>
      <c r="V34" s="18">
        <f>DAY(Tabela1[[#This Row],[Data]])</f>
        <v>4</v>
      </c>
      <c r="W34" s="18">
        <f>MONTH(Tabela1[[#This Row],[Data]])</f>
        <v>11</v>
      </c>
      <c r="X34" s="18">
        <f>YEAR(Tabela1[[#This Row],[Data]])</f>
        <v>2022</v>
      </c>
    </row>
    <row r="35" spans="1:24" hidden="1" x14ac:dyDescent="0.25">
      <c r="A35" s="22">
        <v>12192</v>
      </c>
      <c r="B35" s="21">
        <v>44870</v>
      </c>
      <c r="C35" s="23">
        <v>631</v>
      </c>
      <c r="D35" s="24">
        <v>267</v>
      </c>
      <c r="E35" s="24">
        <v>877</v>
      </c>
      <c r="F35" s="24"/>
      <c r="G35" s="18" t="str">
        <f>IFERROR(VLOOKUP(Tabela1[[#This Row],[Mat. 1]],'Base de Dados'!$I$5:$J$21,2,0),"")</f>
        <v>JOSINALDO</v>
      </c>
      <c r="H35" s="18" t="str">
        <f>IFERROR(VLOOKUP(Tabela1[[#This Row],[Mat. 2]],'Base de Dados'!$I$5:$J$21,2,0),"")</f>
        <v/>
      </c>
      <c r="I35" s="18" t="str">
        <f>IFERROR(VLOOKUP(Tabela1[[#This Row],[Mat. 3]],'Base de Dados'!$I$5:$J$21,2,0),"")</f>
        <v>RONALDO</v>
      </c>
      <c r="J35" s="18" t="str">
        <f>IFERROR(VLOOKUP(Tabela1[[#This Row],[Mat. 4]],'Base de Dados'!$I$5:$J$21,2,0),"")</f>
        <v/>
      </c>
      <c r="K35" s="18" t="str">
        <f>IFERROR(VLOOKUP(Tabela1[[#This Row],[Mat. 1]],'Base de Dados'!$I$2:$M$21,5,0),"")</f>
        <v>2º</v>
      </c>
      <c r="L35" s="18" t="s">
        <v>104</v>
      </c>
      <c r="M35" s="18" t="s">
        <v>313</v>
      </c>
      <c r="N35" s="18" t="s">
        <v>558</v>
      </c>
      <c r="O35" s="18">
        <v>30</v>
      </c>
      <c r="P35" s="18">
        <v>0</v>
      </c>
      <c r="Q35" s="45" t="s">
        <v>345</v>
      </c>
      <c r="R35" s="18" t="s">
        <v>34</v>
      </c>
      <c r="S35" s="18" t="str">
        <f>IFERROR(VLOOKUP(Tabela1[[#This Row],[Cód. Causa]],'Base de Dados'!$O$2:$P$21,2,0),"")</f>
        <v>FALHA EM COMPONENTES ELETRONICO</v>
      </c>
      <c r="T35" s="18" t="str">
        <f>IFERROR(VLOOKUP(Tabela1[[#This Row],[Tag]],'Base de Dados'!$B$2:$C$64,2,0),"")</f>
        <v>PRENSA MOLDAGEM 2</v>
      </c>
      <c r="U35" s="18" t="str">
        <f>IFERROR(VLOOKUP(Tabela1[[#This Row],[Tag]],'Base de Dados'!V35:W87,2,0),"")</f>
        <v/>
      </c>
      <c r="V35" s="18">
        <f>DAY(Tabela1[[#This Row],[Data]])</f>
        <v>5</v>
      </c>
      <c r="W35" s="18">
        <f>MONTH(Tabela1[[#This Row],[Data]])</f>
        <v>11</v>
      </c>
      <c r="X35" s="18">
        <f>YEAR(Tabela1[[#This Row],[Data]])</f>
        <v>2022</v>
      </c>
    </row>
    <row r="36" spans="1:24" hidden="1" x14ac:dyDescent="0.25">
      <c r="A36" s="22">
        <v>12193</v>
      </c>
      <c r="B36" s="21">
        <v>44870</v>
      </c>
      <c r="C36" s="23">
        <v>267</v>
      </c>
      <c r="D36" s="24">
        <v>631</v>
      </c>
      <c r="E36" s="24"/>
      <c r="F36" s="24"/>
      <c r="G36" s="18" t="str">
        <f>IFERROR(VLOOKUP(Tabela1[[#This Row],[Mat. 1]],'Base de Dados'!$I$5:$J$21,2,0),"")</f>
        <v/>
      </c>
      <c r="H36" s="18" t="str">
        <f>IFERROR(VLOOKUP(Tabela1[[#This Row],[Mat. 2]],'Base de Dados'!$I$5:$J$21,2,0),"")</f>
        <v>JOSINALDO</v>
      </c>
      <c r="I36" s="18" t="str">
        <f>IFERROR(VLOOKUP(Tabela1[[#This Row],[Mat. 3]],'Base de Dados'!$I$5:$J$21,2,0),"")</f>
        <v/>
      </c>
      <c r="J36" s="18" t="str">
        <f>IFERROR(VLOOKUP(Tabela1[[#This Row],[Mat. 4]],'Base de Dados'!$I$5:$J$21,2,0),"")</f>
        <v/>
      </c>
      <c r="K36" s="18" t="str">
        <f>IFERROR(VLOOKUP(Tabela1[[#This Row],[Mat. 1]],'Base de Dados'!$I$2:$M$21,5,0),"")</f>
        <v>2º</v>
      </c>
      <c r="L36" s="18" t="s">
        <v>104</v>
      </c>
      <c r="M36" s="18" t="s">
        <v>316</v>
      </c>
      <c r="N36" s="18" t="s">
        <v>558</v>
      </c>
      <c r="O36" s="18">
        <v>5</v>
      </c>
      <c r="P36" s="18">
        <v>0</v>
      </c>
      <c r="Q36" s="45" t="s">
        <v>346</v>
      </c>
      <c r="R36" s="18" t="s">
        <v>116</v>
      </c>
      <c r="S36" s="18" t="str">
        <f>IFERROR(VLOOKUP(Tabela1[[#This Row],[Cód. Causa]],'Base de Dados'!$O$2:$P$21,2,0),"")</f>
        <v xml:space="preserve">EQUIPAMENTO TRABALHANDO COM CARGA EXCESSIVA </v>
      </c>
      <c r="T36" s="18" t="str">
        <f>IFERROR(VLOOKUP(Tabela1[[#This Row],[Tag]],'Base de Dados'!$B$2:$C$64,2,0),"")</f>
        <v>PRENSA MOLDAGEM 2</v>
      </c>
      <c r="U36" s="18" t="str">
        <f>IFERROR(VLOOKUP(Tabela1[[#This Row],[Tag]],'Base de Dados'!V36:W88,2,0),"")</f>
        <v/>
      </c>
      <c r="V36" s="18">
        <f>DAY(Tabela1[[#This Row],[Data]])</f>
        <v>5</v>
      </c>
      <c r="W36" s="18">
        <f>MONTH(Tabela1[[#This Row],[Data]])</f>
        <v>11</v>
      </c>
      <c r="X36" s="18">
        <f>YEAR(Tabela1[[#This Row],[Data]])</f>
        <v>2022</v>
      </c>
    </row>
    <row r="37" spans="1:24" hidden="1" x14ac:dyDescent="0.25">
      <c r="A37" s="22">
        <v>12826</v>
      </c>
      <c r="B37" s="21">
        <v>44870</v>
      </c>
      <c r="C37" s="23">
        <v>248</v>
      </c>
      <c r="D37" s="24"/>
      <c r="E37" s="24"/>
      <c r="F37" s="24"/>
      <c r="G37" s="18" t="str">
        <f>IFERROR(VLOOKUP(Tabela1[[#This Row],[Mat. 1]],'Base de Dados'!$I$5:$J$21,2,0),"")</f>
        <v>RUIGUENS</v>
      </c>
      <c r="H37" s="18" t="str">
        <f>IFERROR(VLOOKUP(Tabela1[[#This Row],[Mat. 2]],'Base de Dados'!$I$5:$J$21,2,0),"")</f>
        <v/>
      </c>
      <c r="I37" s="18" t="str">
        <f>IFERROR(VLOOKUP(Tabela1[[#This Row],[Mat. 3]],'Base de Dados'!$I$5:$J$21,2,0),"")</f>
        <v/>
      </c>
      <c r="J37" s="18" t="str">
        <f>IFERROR(VLOOKUP(Tabela1[[#This Row],[Mat. 4]],'Base de Dados'!$I$5:$J$21,2,0),"")</f>
        <v/>
      </c>
      <c r="K37" s="18" t="str">
        <f>IFERROR(VLOOKUP(Tabela1[[#This Row],[Mat. 1]],'Base de Dados'!$I$2:$M$21,5,0),"")</f>
        <v>2º</v>
      </c>
      <c r="L37" s="18" t="s">
        <v>141</v>
      </c>
      <c r="M37" s="18" t="s">
        <v>316</v>
      </c>
      <c r="N37" s="18" t="s">
        <v>558</v>
      </c>
      <c r="O37" s="18">
        <v>30</v>
      </c>
      <c r="P37" s="18">
        <v>0</v>
      </c>
      <c r="Q37" s="45" t="s">
        <v>347</v>
      </c>
      <c r="R37" s="18" t="s">
        <v>116</v>
      </c>
      <c r="S37" s="18" t="str">
        <f>IFERROR(VLOOKUP(Tabela1[[#This Row],[Cód. Causa]],'Base de Dados'!$O$2:$P$21,2,0),"")</f>
        <v xml:space="preserve">EQUIPAMENTO TRABALHANDO COM CARGA EXCESSIVA </v>
      </c>
      <c r="T37" s="18" t="str">
        <f>IFERROR(VLOOKUP(Tabela1[[#This Row],[Tag]],'Base de Dados'!$B$2:$C$64,2,0),"")</f>
        <v>CORTE DO TETO  - WATER JET 2</v>
      </c>
      <c r="U37" s="18" t="str">
        <f>IFERROR(VLOOKUP(Tabela1[[#This Row],[Tag]],'Base de Dados'!V37:W89,2,0),"")</f>
        <v/>
      </c>
      <c r="V37" s="18">
        <f>DAY(Tabela1[[#This Row],[Data]])</f>
        <v>5</v>
      </c>
      <c r="W37" s="18">
        <f>MONTH(Tabela1[[#This Row],[Data]])</f>
        <v>11</v>
      </c>
      <c r="X37" s="18">
        <f>YEAR(Tabela1[[#This Row],[Data]])</f>
        <v>2022</v>
      </c>
    </row>
    <row r="38" spans="1:24" hidden="1" x14ac:dyDescent="0.25">
      <c r="A38" s="22">
        <v>12838</v>
      </c>
      <c r="B38" s="21">
        <v>44871</v>
      </c>
      <c r="C38" s="23">
        <v>73</v>
      </c>
      <c r="D38" s="24"/>
      <c r="E38" s="24"/>
      <c r="F38" s="24"/>
      <c r="G38" s="18" t="str">
        <f>IFERROR(VLOOKUP(Tabela1[[#This Row],[Mat. 1]],'Base de Dados'!$I$5:$J$21,2,0),"")</f>
        <v>VALDEMAR</v>
      </c>
      <c r="H38" s="18" t="str">
        <f>IFERROR(VLOOKUP(Tabela1[[#This Row],[Mat. 2]],'Base de Dados'!$I$5:$J$21,2,0),"")</f>
        <v/>
      </c>
      <c r="I38" s="18" t="str">
        <f>IFERROR(VLOOKUP(Tabela1[[#This Row],[Mat. 3]],'Base de Dados'!$I$5:$J$21,2,0),"")</f>
        <v/>
      </c>
      <c r="J38" s="18" t="str">
        <f>IFERROR(VLOOKUP(Tabela1[[#This Row],[Mat. 4]],'Base de Dados'!$I$5:$J$21,2,0),"")</f>
        <v/>
      </c>
      <c r="K38" s="18" t="str">
        <f>IFERROR(VLOOKUP(Tabela1[[#This Row],[Mat. 1]],'Base de Dados'!$I$2:$M$21,5,0),"")</f>
        <v>3º</v>
      </c>
      <c r="L38" s="18" t="s">
        <v>185</v>
      </c>
      <c r="M38" s="18" t="s">
        <v>316</v>
      </c>
      <c r="N38" s="18" t="s">
        <v>558</v>
      </c>
      <c r="O38" s="18">
        <v>16</v>
      </c>
      <c r="P38" s="18">
        <v>0</v>
      </c>
      <c r="Q38" s="45" t="s">
        <v>348</v>
      </c>
      <c r="R38" s="18" t="s">
        <v>116</v>
      </c>
      <c r="S38" s="18" t="str">
        <f>IFERROR(VLOOKUP(Tabela1[[#This Row],[Cód. Causa]],'Base de Dados'!$O$2:$P$21,2,0),"")</f>
        <v xml:space="preserve">EQUIPAMENTO TRABALHANDO COM CARGA EXCESSIVA </v>
      </c>
      <c r="T38" s="18" t="str">
        <f>IFERROR(VLOOKUP(Tabela1[[#This Row],[Tag]],'Base de Dados'!$B$2:$C$64,2,0),"")</f>
        <v>CORTE DO CARPETE- WATER JET</v>
      </c>
      <c r="U38" s="18" t="str">
        <f>IFERROR(VLOOKUP(Tabela1[[#This Row],[Tag]],'Base de Dados'!V38:W90,2,0),"")</f>
        <v>UTE-05</v>
      </c>
      <c r="V38" s="18">
        <f>DAY(Tabela1[[#This Row],[Data]])</f>
        <v>6</v>
      </c>
      <c r="W38" s="18">
        <f>MONTH(Tabela1[[#This Row],[Data]])</f>
        <v>11</v>
      </c>
      <c r="X38" s="18">
        <f>YEAR(Tabela1[[#This Row],[Data]])</f>
        <v>2022</v>
      </c>
    </row>
    <row r="39" spans="1:24" ht="30" hidden="1" x14ac:dyDescent="0.25">
      <c r="A39" s="22">
        <v>12840</v>
      </c>
      <c r="B39" s="21">
        <v>44871</v>
      </c>
      <c r="C39" s="23">
        <v>444</v>
      </c>
      <c r="D39" s="24">
        <v>73</v>
      </c>
      <c r="E39" s="24"/>
      <c r="F39" s="24"/>
      <c r="G39" s="18" t="str">
        <f>IFERROR(VLOOKUP(Tabela1[[#This Row],[Mat. 1]],'Base de Dados'!$I$5:$J$21,2,0),"")</f>
        <v>EDUARDO</v>
      </c>
      <c r="H39" s="18" t="str">
        <f>IFERROR(VLOOKUP(Tabela1[[#This Row],[Mat. 2]],'Base de Dados'!$I$5:$J$21,2,0),"")</f>
        <v>VALDEMAR</v>
      </c>
      <c r="I39" s="18" t="str">
        <f>IFERROR(VLOOKUP(Tabela1[[#This Row],[Mat. 3]],'Base de Dados'!$I$5:$J$21,2,0),"")</f>
        <v/>
      </c>
      <c r="J39" s="18" t="str">
        <f>IFERROR(VLOOKUP(Tabela1[[#This Row],[Mat. 4]],'Base de Dados'!$I$5:$J$21,2,0),"")</f>
        <v/>
      </c>
      <c r="K39" s="18" t="str">
        <f>IFERROR(VLOOKUP(Tabela1[[#This Row],[Mat. 1]],'Base de Dados'!$I$2:$M$21,5,0),"")</f>
        <v>3º</v>
      </c>
      <c r="L39" s="18" t="s">
        <v>177</v>
      </c>
      <c r="M39" s="18" t="s">
        <v>316</v>
      </c>
      <c r="N39" s="18" t="s">
        <v>558</v>
      </c>
      <c r="O39" s="18">
        <v>300</v>
      </c>
      <c r="P39" s="18">
        <v>0</v>
      </c>
      <c r="Q39" s="45" t="s">
        <v>349</v>
      </c>
      <c r="R39" s="18" t="s">
        <v>116</v>
      </c>
      <c r="S39" s="18" t="str">
        <f>IFERROR(VLOOKUP(Tabela1[[#This Row],[Cód. Causa]],'Base de Dados'!$O$2:$P$21,2,0),"")</f>
        <v xml:space="preserve">EQUIPAMENTO TRABALHANDO COM CARGA EXCESSIVA </v>
      </c>
      <c r="T39" s="18" t="str">
        <f>IFERROR(VLOOKUP(Tabela1[[#This Row],[Tag]],'Base de Dados'!$B$2:$C$64,2,0),"")</f>
        <v>PRENSA COM INJEÇÃO PU 1</v>
      </c>
      <c r="U39" s="18" t="str">
        <f>IFERROR(VLOOKUP(Tabela1[[#This Row],[Tag]],'Base de Dados'!V39:W91,2,0),"")</f>
        <v/>
      </c>
      <c r="V39" s="18">
        <f>DAY(Tabela1[[#This Row],[Data]])</f>
        <v>6</v>
      </c>
      <c r="W39" s="18">
        <f>MONTH(Tabela1[[#This Row],[Data]])</f>
        <v>11</v>
      </c>
      <c r="X39" s="18">
        <f>YEAR(Tabela1[[#This Row],[Data]])</f>
        <v>2022</v>
      </c>
    </row>
    <row r="40" spans="1:24" hidden="1" x14ac:dyDescent="0.25">
      <c r="A40" s="22">
        <v>12953</v>
      </c>
      <c r="B40" s="21">
        <v>44871</v>
      </c>
      <c r="C40" s="23">
        <v>782</v>
      </c>
      <c r="D40" s="24"/>
      <c r="E40" s="24"/>
      <c r="F40" s="24"/>
      <c r="G40" s="18" t="str">
        <f>IFERROR(VLOOKUP(Tabela1[[#This Row],[Mat. 1]],'Base de Dados'!$I$5:$J$21,2,0),"")</f>
        <v>JOSÉ</v>
      </c>
      <c r="H40" s="18" t="str">
        <f>IFERROR(VLOOKUP(Tabela1[[#This Row],[Mat. 2]],'Base de Dados'!$I$5:$J$21,2,0),"")</f>
        <v/>
      </c>
      <c r="I40" s="18" t="str">
        <f>IFERROR(VLOOKUP(Tabela1[[#This Row],[Mat. 3]],'Base de Dados'!$I$5:$J$21,2,0),"")</f>
        <v/>
      </c>
      <c r="J40" s="18" t="str">
        <f>IFERROR(VLOOKUP(Tabela1[[#This Row],[Mat. 4]],'Base de Dados'!$I$5:$J$21,2,0),"")</f>
        <v/>
      </c>
      <c r="K40" s="18" t="str">
        <f>IFERROR(VLOOKUP(Tabela1[[#This Row],[Mat. 1]],'Base de Dados'!$I$2:$M$21,5,0),"")</f>
        <v>3º</v>
      </c>
      <c r="L40" s="18" t="s">
        <v>328</v>
      </c>
      <c r="M40" s="18" t="s">
        <v>313</v>
      </c>
      <c r="N40" s="18" t="s">
        <v>558</v>
      </c>
      <c r="O40" s="18">
        <v>10</v>
      </c>
      <c r="P40" s="18">
        <v>0</v>
      </c>
      <c r="Q40" s="45" t="s">
        <v>336</v>
      </c>
      <c r="R40" s="18" t="s">
        <v>34</v>
      </c>
      <c r="S40" s="18" t="str">
        <f>IFERROR(VLOOKUP(Tabela1[[#This Row],[Cód. Causa]],'Base de Dados'!$O$2:$P$21,2,0),"")</f>
        <v>FALHA EM COMPONENTES ELETRONICO</v>
      </c>
      <c r="T40" s="18" t="str">
        <f>IFERROR(VLOOKUP(Tabela1[[#This Row],[Tag]],'Base de Dados'!$B$2:$C$64,2,0),"")</f>
        <v/>
      </c>
      <c r="U40" s="18" t="str">
        <f>IFERROR(VLOOKUP(Tabela1[[#This Row],[Tag]],'Base de Dados'!V40:W92,2,0),"")</f>
        <v/>
      </c>
      <c r="V40" s="18">
        <f>DAY(Tabela1[[#This Row],[Data]])</f>
        <v>6</v>
      </c>
      <c r="W40" s="18">
        <f>MONTH(Tabela1[[#This Row],[Data]])</f>
        <v>11</v>
      </c>
      <c r="X40" s="18">
        <f>YEAR(Tabela1[[#This Row],[Data]])</f>
        <v>2022</v>
      </c>
    </row>
    <row r="41" spans="1:24" hidden="1" x14ac:dyDescent="0.25">
      <c r="A41" s="22">
        <v>12954</v>
      </c>
      <c r="B41" s="21">
        <v>44871</v>
      </c>
      <c r="C41" s="23">
        <v>444</v>
      </c>
      <c r="D41" s="24"/>
      <c r="E41" s="24"/>
      <c r="F41" s="24"/>
      <c r="G41" s="18" t="str">
        <f>IFERROR(VLOOKUP(Tabela1[[#This Row],[Mat. 1]],'Base de Dados'!$I$5:$J$21,2,0),"")</f>
        <v>EDUARDO</v>
      </c>
      <c r="H41" s="18" t="str">
        <f>IFERROR(VLOOKUP(Tabela1[[#This Row],[Mat. 2]],'Base de Dados'!$I$5:$J$21,2,0),"")</f>
        <v/>
      </c>
      <c r="I41" s="18" t="str">
        <f>IFERROR(VLOOKUP(Tabela1[[#This Row],[Mat. 3]],'Base de Dados'!$I$5:$J$21,2,0),"")</f>
        <v/>
      </c>
      <c r="J41" s="18" t="str">
        <f>IFERROR(VLOOKUP(Tabela1[[#This Row],[Mat. 4]],'Base de Dados'!$I$5:$J$21,2,0),"")</f>
        <v/>
      </c>
      <c r="K41" s="18" t="str">
        <f>IFERROR(VLOOKUP(Tabela1[[#This Row],[Mat. 1]],'Base de Dados'!$I$2:$M$21,5,0),"")</f>
        <v>3º</v>
      </c>
      <c r="L41" s="18" t="s">
        <v>112</v>
      </c>
      <c r="M41" s="18" t="s">
        <v>316</v>
      </c>
      <c r="N41" s="18" t="s">
        <v>558</v>
      </c>
      <c r="O41" s="18">
        <v>60</v>
      </c>
      <c r="P41" s="18">
        <v>0</v>
      </c>
      <c r="Q41" s="45" t="s">
        <v>350</v>
      </c>
      <c r="R41" s="18" t="s">
        <v>116</v>
      </c>
      <c r="S41" s="18" t="str">
        <f>IFERROR(VLOOKUP(Tabela1[[#This Row],[Cód. Causa]],'Base de Dados'!$O$2:$P$21,2,0),"")</f>
        <v xml:space="preserve">EQUIPAMENTO TRABALHANDO COM CARGA EXCESSIVA </v>
      </c>
      <c r="T41" s="18" t="str">
        <f>IFERROR(VLOOKUP(Tabela1[[#This Row],[Tag]],'Base de Dados'!$B$2:$C$64,2,0),"")</f>
        <v>ROBÔ ABB APLIC. COLA DO TETO</v>
      </c>
      <c r="U41" s="18" t="str">
        <f>IFERROR(VLOOKUP(Tabela1[[#This Row],[Tag]],'Base de Dados'!V41:W93,2,0),"")</f>
        <v/>
      </c>
      <c r="V41" s="18">
        <f>DAY(Tabela1[[#This Row],[Data]])</f>
        <v>6</v>
      </c>
      <c r="W41" s="18">
        <f>MONTH(Tabela1[[#This Row],[Data]])</f>
        <v>11</v>
      </c>
      <c r="X41" s="18">
        <f>YEAR(Tabela1[[#This Row],[Data]])</f>
        <v>2022</v>
      </c>
    </row>
    <row r="42" spans="1:24" hidden="1" x14ac:dyDescent="0.25">
      <c r="A42" s="22">
        <v>12957</v>
      </c>
      <c r="B42" s="21">
        <v>44871</v>
      </c>
      <c r="C42" s="23">
        <v>782</v>
      </c>
      <c r="D42" s="24"/>
      <c r="E42" s="24"/>
      <c r="F42" s="24"/>
      <c r="G42" s="18" t="str">
        <f>IFERROR(VLOOKUP(Tabela1[[#This Row],[Mat. 1]],'Base de Dados'!$I$5:$J$21,2,0),"")</f>
        <v>JOSÉ</v>
      </c>
      <c r="H42" s="18" t="str">
        <f>IFERROR(VLOOKUP(Tabela1[[#This Row],[Mat. 2]],'Base de Dados'!$I$5:$J$21,2,0),"")</f>
        <v/>
      </c>
      <c r="I42" s="18" t="str">
        <f>IFERROR(VLOOKUP(Tabela1[[#This Row],[Mat. 3]],'Base de Dados'!$I$5:$J$21,2,0),"")</f>
        <v/>
      </c>
      <c r="J42" s="18" t="str">
        <f>IFERROR(VLOOKUP(Tabela1[[#This Row],[Mat. 4]],'Base de Dados'!$I$5:$J$21,2,0),"")</f>
        <v/>
      </c>
      <c r="K42" s="18" t="str">
        <f>IFERROR(VLOOKUP(Tabela1[[#This Row],[Mat. 1]],'Base de Dados'!$I$2:$M$21,5,0),"")</f>
        <v>3º</v>
      </c>
      <c r="L42" s="18" t="s">
        <v>91</v>
      </c>
      <c r="M42" s="18" t="s">
        <v>313</v>
      </c>
      <c r="N42" s="18" t="s">
        <v>558</v>
      </c>
      <c r="O42" s="18">
        <v>7</v>
      </c>
      <c r="P42" s="18">
        <v>0</v>
      </c>
      <c r="Q42" s="45" t="s">
        <v>336</v>
      </c>
      <c r="R42" s="18" t="s">
        <v>34</v>
      </c>
      <c r="S42" s="18" t="str">
        <f>IFERROR(VLOOKUP(Tabela1[[#This Row],[Cód. Causa]],'Base de Dados'!$O$2:$P$21,2,0),"")</f>
        <v>FALHA EM COMPONENTES ELETRONICO</v>
      </c>
      <c r="T42" s="18" t="str">
        <f>IFERROR(VLOOKUP(Tabela1[[#This Row],[Tag]],'Base de Dados'!$B$2:$C$64,2,0),"")</f>
        <v>TERMOFORMAGEM GLASUTEC</v>
      </c>
      <c r="U42" s="18" t="str">
        <f>IFERROR(VLOOKUP(Tabela1[[#This Row],[Tag]],'Base de Dados'!V42:W94,2,0),"")</f>
        <v/>
      </c>
      <c r="V42" s="18">
        <f>DAY(Tabela1[[#This Row],[Data]])</f>
        <v>6</v>
      </c>
      <c r="W42" s="18">
        <f>MONTH(Tabela1[[#This Row],[Data]])</f>
        <v>11</v>
      </c>
      <c r="X42" s="18">
        <f>YEAR(Tabela1[[#This Row],[Data]])</f>
        <v>2022</v>
      </c>
    </row>
    <row r="43" spans="1:24" hidden="1" x14ac:dyDescent="0.25">
      <c r="A43" s="22">
        <v>11500</v>
      </c>
      <c r="B43" s="21">
        <v>44872</v>
      </c>
      <c r="C43" s="23">
        <v>677</v>
      </c>
      <c r="D43" s="24"/>
      <c r="E43" s="24"/>
      <c r="F43" s="24"/>
      <c r="G43" s="18" t="str">
        <f>IFERROR(VLOOKUP(Tabela1[[#This Row],[Mat. 1]],'Base de Dados'!$I$5:$J$21,2,0),"")</f>
        <v>RAFAEL</v>
      </c>
      <c r="H43" s="18" t="str">
        <f>IFERROR(VLOOKUP(Tabela1[[#This Row],[Mat. 2]],'Base de Dados'!$I$5:$J$21,2,0),"")</f>
        <v/>
      </c>
      <c r="I43" s="18" t="str">
        <f>IFERROR(VLOOKUP(Tabela1[[#This Row],[Mat. 3]],'Base de Dados'!$I$5:$J$21,2,0),"")</f>
        <v/>
      </c>
      <c r="J43" s="18" t="str">
        <f>IFERROR(VLOOKUP(Tabela1[[#This Row],[Mat. 4]],'Base de Dados'!$I$5:$J$21,2,0),"")</f>
        <v/>
      </c>
      <c r="K43" s="18" t="str">
        <f>IFERROR(VLOOKUP(Tabela1[[#This Row],[Mat. 1]],'Base de Dados'!$I$2:$M$21,5,0),"")</f>
        <v>2º</v>
      </c>
      <c r="L43" s="18" t="s">
        <v>177</v>
      </c>
      <c r="M43" s="18" t="s">
        <v>316</v>
      </c>
      <c r="N43" s="18" t="s">
        <v>558</v>
      </c>
      <c r="O43" s="18">
        <v>20</v>
      </c>
      <c r="P43" s="18">
        <v>0</v>
      </c>
      <c r="Q43" s="45" t="s">
        <v>351</v>
      </c>
      <c r="R43" s="18" t="s">
        <v>116</v>
      </c>
      <c r="S43" s="18" t="str">
        <f>IFERROR(VLOOKUP(Tabela1[[#This Row],[Cód. Causa]],'Base de Dados'!$O$2:$P$21,2,0),"")</f>
        <v xml:space="preserve">EQUIPAMENTO TRABALHANDO COM CARGA EXCESSIVA </v>
      </c>
      <c r="T43" s="18" t="str">
        <f>IFERROR(VLOOKUP(Tabela1[[#This Row],[Tag]],'Base de Dados'!$B$2:$C$64,2,0),"")</f>
        <v>PRENSA COM INJEÇÃO PU 1</v>
      </c>
      <c r="U43" s="18" t="str">
        <f>IFERROR(VLOOKUP(Tabela1[[#This Row],[Tag]],'Base de Dados'!V43:W95,2,0),"")</f>
        <v/>
      </c>
      <c r="V43" s="18">
        <f>DAY(Tabela1[[#This Row],[Data]])</f>
        <v>7</v>
      </c>
      <c r="W43" s="18">
        <f>MONTH(Tabela1[[#This Row],[Data]])</f>
        <v>11</v>
      </c>
      <c r="X43" s="18">
        <f>YEAR(Tabela1[[#This Row],[Data]])</f>
        <v>2022</v>
      </c>
    </row>
    <row r="44" spans="1:24" hidden="1" x14ac:dyDescent="0.25">
      <c r="A44" s="22">
        <v>12806</v>
      </c>
      <c r="B44" s="21">
        <v>44872</v>
      </c>
      <c r="C44" s="23">
        <v>739</v>
      </c>
      <c r="D44" s="24">
        <v>721</v>
      </c>
      <c r="E44" s="24"/>
      <c r="F44" s="24"/>
      <c r="G44" s="18" t="str">
        <f>IFERROR(VLOOKUP(Tabela1[[#This Row],[Mat. 1]],'Base de Dados'!$I$5:$J$21,2,0),"")</f>
        <v>DANILLO</v>
      </c>
      <c r="H44" s="18" t="str">
        <f>IFERROR(VLOOKUP(Tabela1[[#This Row],[Mat. 2]],'Base de Dados'!$I$5:$J$21,2,0),"")</f>
        <v>GENILSON</v>
      </c>
      <c r="I44" s="18" t="str">
        <f>IFERROR(VLOOKUP(Tabela1[[#This Row],[Mat. 3]],'Base de Dados'!$I$5:$J$21,2,0),"")</f>
        <v/>
      </c>
      <c r="J44" s="18" t="str">
        <f>IFERROR(VLOOKUP(Tabela1[[#This Row],[Mat. 4]],'Base de Dados'!$I$5:$J$21,2,0),"")</f>
        <v/>
      </c>
      <c r="K44" s="18" t="str">
        <f>IFERROR(VLOOKUP(Tabela1[[#This Row],[Mat. 1]],'Base de Dados'!$I$2:$M$21,5,0),"")</f>
        <v>1º</v>
      </c>
      <c r="L44" s="18" t="s">
        <v>79</v>
      </c>
      <c r="M44" s="18" t="s">
        <v>316</v>
      </c>
      <c r="N44" s="18" t="s">
        <v>558</v>
      </c>
      <c r="O44" s="18">
        <v>55</v>
      </c>
      <c r="P44" s="18">
        <v>0</v>
      </c>
      <c r="Q44" s="45" t="s">
        <v>352</v>
      </c>
      <c r="R44" s="18" t="s">
        <v>116</v>
      </c>
      <c r="S44" s="18" t="str">
        <f>IFERROR(VLOOKUP(Tabela1[[#This Row],[Cód. Causa]],'Base de Dados'!$O$2:$P$21,2,0),"")</f>
        <v xml:space="preserve">EQUIPAMENTO TRABALHANDO COM CARGA EXCESSIVA </v>
      </c>
      <c r="T44" s="18" t="str">
        <f>IFERROR(VLOOKUP(Tabela1[[#This Row],[Tag]],'Base de Dados'!$B$2:$C$64,2,0),"")</f>
        <v>PRENSA COM INJEÇÃO PU INNER 03</v>
      </c>
      <c r="U44" s="18" t="str">
        <f>IFERROR(VLOOKUP(Tabela1[[#This Row],[Tag]],'Base de Dados'!V44:W96,2,0),"")</f>
        <v/>
      </c>
      <c r="V44" s="18">
        <f>DAY(Tabela1[[#This Row],[Data]])</f>
        <v>7</v>
      </c>
      <c r="W44" s="18">
        <f>MONTH(Tabela1[[#This Row],[Data]])</f>
        <v>11</v>
      </c>
      <c r="X44" s="18">
        <f>YEAR(Tabela1[[#This Row],[Data]])</f>
        <v>2022</v>
      </c>
    </row>
    <row r="45" spans="1:24" hidden="1" x14ac:dyDescent="0.25">
      <c r="A45" s="22">
        <v>12827</v>
      </c>
      <c r="B45" s="21">
        <v>44872</v>
      </c>
      <c r="C45" s="23">
        <v>592</v>
      </c>
      <c r="D45" s="24"/>
      <c r="E45" s="24"/>
      <c r="F45" s="24"/>
      <c r="G45" s="18" t="str">
        <f>IFERROR(VLOOKUP(Tabela1[[#This Row],[Mat. 1]],'Base de Dados'!$I$5:$J$21,2,0),"")</f>
        <v>CRISTIANO</v>
      </c>
      <c r="H45" s="18" t="str">
        <f>IFERROR(VLOOKUP(Tabela1[[#This Row],[Mat. 2]],'Base de Dados'!$I$5:$J$21,2,0),"")</f>
        <v/>
      </c>
      <c r="I45" s="18" t="str">
        <f>IFERROR(VLOOKUP(Tabela1[[#This Row],[Mat. 3]],'Base de Dados'!$I$5:$J$21,2,0),"")</f>
        <v/>
      </c>
      <c r="J45" s="18" t="str">
        <f>IFERROR(VLOOKUP(Tabela1[[#This Row],[Mat. 4]],'Base de Dados'!$I$5:$J$21,2,0),"")</f>
        <v/>
      </c>
      <c r="K45" s="18" t="str">
        <f>IFERROR(VLOOKUP(Tabela1[[#This Row],[Mat. 1]],'Base de Dados'!$I$2:$M$21,5,0),"")</f>
        <v>1º</v>
      </c>
      <c r="L45" s="18" t="s">
        <v>130</v>
      </c>
      <c r="M45" s="18" t="s">
        <v>316</v>
      </c>
      <c r="N45" s="18" t="s">
        <v>558</v>
      </c>
      <c r="O45" s="18">
        <v>20</v>
      </c>
      <c r="P45" s="18">
        <v>0</v>
      </c>
      <c r="Q45" s="45" t="s">
        <v>353</v>
      </c>
      <c r="R45" s="18" t="s">
        <v>116</v>
      </c>
      <c r="S45" s="18" t="str">
        <f>IFERROR(VLOOKUP(Tabela1[[#This Row],[Cód. Causa]],'Base de Dados'!$O$2:$P$21,2,0),"")</f>
        <v xml:space="preserve">EQUIPAMENTO TRABALHANDO COM CARGA EXCESSIVA </v>
      </c>
      <c r="T45" s="18" t="str">
        <f>IFERROR(VLOOKUP(Tabela1[[#This Row],[Tag]],'Base de Dados'!$B$2:$C$64,2,0),"")</f>
        <v>PRENSA ACOPL. TECIDO DO TETO 2</v>
      </c>
      <c r="U45" s="18" t="str">
        <f>IFERROR(VLOOKUP(Tabela1[[#This Row],[Tag]],'Base de Dados'!V45:W97,2,0),"")</f>
        <v/>
      </c>
      <c r="V45" s="18">
        <f>DAY(Tabela1[[#This Row],[Data]])</f>
        <v>7</v>
      </c>
      <c r="W45" s="18">
        <f>MONTH(Tabela1[[#This Row],[Data]])</f>
        <v>11</v>
      </c>
      <c r="X45" s="18">
        <f>YEAR(Tabela1[[#This Row],[Data]])</f>
        <v>2022</v>
      </c>
    </row>
    <row r="46" spans="1:24" hidden="1" x14ac:dyDescent="0.25">
      <c r="A46" s="22">
        <v>12828</v>
      </c>
      <c r="B46" s="21">
        <v>44872</v>
      </c>
      <c r="C46" s="23">
        <v>721</v>
      </c>
      <c r="D46" s="24"/>
      <c r="E46" s="24"/>
      <c r="F46" s="24"/>
      <c r="G46" s="18" t="str">
        <f>IFERROR(VLOOKUP(Tabela1[[#This Row],[Mat. 1]],'Base de Dados'!$I$5:$J$21,2,0),"")</f>
        <v>GENILSON</v>
      </c>
      <c r="H46" s="18" t="str">
        <f>IFERROR(VLOOKUP(Tabela1[[#This Row],[Mat. 2]],'Base de Dados'!$I$5:$J$21,2,0),"")</f>
        <v/>
      </c>
      <c r="I46" s="18" t="str">
        <f>IFERROR(VLOOKUP(Tabela1[[#This Row],[Mat. 3]],'Base de Dados'!$I$5:$J$21,2,0),"")</f>
        <v/>
      </c>
      <c r="J46" s="18" t="str">
        <f>IFERROR(VLOOKUP(Tabela1[[#This Row],[Mat. 4]],'Base de Dados'!$I$5:$J$21,2,0),"")</f>
        <v/>
      </c>
      <c r="K46" s="18" t="str">
        <f>IFERROR(VLOOKUP(Tabela1[[#This Row],[Mat. 1]],'Base de Dados'!$I$2:$M$21,5,0),"")</f>
        <v>1º</v>
      </c>
      <c r="L46" s="18" t="s">
        <v>145</v>
      </c>
      <c r="M46" s="18" t="s">
        <v>316</v>
      </c>
      <c r="N46" s="18" t="s">
        <v>558</v>
      </c>
      <c r="O46" s="18">
        <v>20</v>
      </c>
      <c r="P46" s="18">
        <v>0</v>
      </c>
      <c r="Q46" s="45" t="s">
        <v>354</v>
      </c>
      <c r="R46" s="18" t="s">
        <v>116</v>
      </c>
      <c r="S46" s="18" t="str">
        <f>IFERROR(VLOOKUP(Tabela1[[#This Row],[Cód. Causa]],'Base de Dados'!$O$2:$P$21,2,0),"")</f>
        <v xml:space="preserve">EQUIPAMENTO TRABALHANDO COM CARGA EXCESSIVA </v>
      </c>
      <c r="T46" s="18" t="str">
        <f>IFERROR(VLOOKUP(Tabela1[[#This Row],[Tag]],'Base de Dados'!$B$2:$C$64,2,0),"")</f>
        <v>VIROLA DO TETO 521</v>
      </c>
      <c r="U46" s="18" t="str">
        <f>IFERROR(VLOOKUP(Tabela1[[#This Row],[Tag]],'Base de Dados'!V46:W98,2,0),"")</f>
        <v/>
      </c>
      <c r="V46" s="18">
        <f>DAY(Tabela1[[#This Row],[Data]])</f>
        <v>7</v>
      </c>
      <c r="W46" s="18">
        <f>MONTH(Tabela1[[#This Row],[Data]])</f>
        <v>11</v>
      </c>
      <c r="X46" s="18">
        <f>YEAR(Tabela1[[#This Row],[Data]])</f>
        <v>2022</v>
      </c>
    </row>
    <row r="47" spans="1:24" hidden="1" x14ac:dyDescent="0.25">
      <c r="A47" s="22">
        <v>12835</v>
      </c>
      <c r="B47" s="21">
        <v>44872</v>
      </c>
      <c r="C47" s="23">
        <v>435</v>
      </c>
      <c r="D47" s="24"/>
      <c r="E47" s="24"/>
      <c r="F47" s="24"/>
      <c r="G47" s="18" t="str">
        <f>IFERROR(VLOOKUP(Tabela1[[#This Row],[Mat. 1]],'Base de Dados'!$I$5:$J$21,2,0),"")</f>
        <v>SILVIO</v>
      </c>
      <c r="H47" s="18" t="str">
        <f>IFERROR(VLOOKUP(Tabela1[[#This Row],[Mat. 2]],'Base de Dados'!$I$5:$J$21,2,0),"")</f>
        <v/>
      </c>
      <c r="I47" s="18" t="str">
        <f>IFERROR(VLOOKUP(Tabela1[[#This Row],[Mat. 3]],'Base de Dados'!$I$5:$J$21,2,0),"")</f>
        <v/>
      </c>
      <c r="J47" s="18" t="str">
        <f>IFERROR(VLOOKUP(Tabela1[[#This Row],[Mat. 4]],'Base de Dados'!$I$5:$J$21,2,0),"")</f>
        <v/>
      </c>
      <c r="K47" s="18" t="str">
        <f>IFERROR(VLOOKUP(Tabela1[[#This Row],[Mat. 1]],'Base de Dados'!$I$2:$M$21,5,0),"")</f>
        <v>1º</v>
      </c>
      <c r="L47" s="18" t="s">
        <v>98</v>
      </c>
      <c r="M47" s="18" t="s">
        <v>316</v>
      </c>
      <c r="N47" s="18" t="s">
        <v>558</v>
      </c>
      <c r="O47" s="18">
        <v>5</v>
      </c>
      <c r="P47" s="18">
        <v>0</v>
      </c>
      <c r="Q47" s="45" t="s">
        <v>355</v>
      </c>
      <c r="R47" s="18" t="s">
        <v>116</v>
      </c>
      <c r="S47" s="18" t="str">
        <f>IFERROR(VLOOKUP(Tabela1[[#This Row],[Cód. Causa]],'Base de Dados'!$O$2:$P$21,2,0),"")</f>
        <v xml:space="preserve">EQUIPAMENTO TRABALHANDO COM CARGA EXCESSIVA </v>
      </c>
      <c r="T47" s="18" t="str">
        <f>IFERROR(VLOOKUP(Tabela1[[#This Row],[Tag]],'Base de Dados'!$B$2:$C$64,2,0),"")</f>
        <v>PRENSA MOLDAGEM 1</v>
      </c>
      <c r="U47" s="18" t="str">
        <f>IFERROR(VLOOKUP(Tabela1[[#This Row],[Tag]],'Base de Dados'!V47:W99,2,0),"")</f>
        <v/>
      </c>
      <c r="V47" s="18">
        <f>DAY(Tabela1[[#This Row],[Data]])</f>
        <v>7</v>
      </c>
      <c r="W47" s="18">
        <f>MONTH(Tabela1[[#This Row],[Data]])</f>
        <v>11</v>
      </c>
      <c r="X47" s="18">
        <f>YEAR(Tabela1[[#This Row],[Data]])</f>
        <v>2022</v>
      </c>
    </row>
    <row r="48" spans="1:24" hidden="1" x14ac:dyDescent="0.25">
      <c r="A48" s="22">
        <v>12839</v>
      </c>
      <c r="B48" s="21">
        <v>44872</v>
      </c>
      <c r="C48" s="23">
        <v>73</v>
      </c>
      <c r="D48" s="24"/>
      <c r="E48" s="24"/>
      <c r="F48" s="24"/>
      <c r="G48" s="18" t="str">
        <f>IFERROR(VLOOKUP(Tabela1[[#This Row],[Mat. 1]],'Base de Dados'!$I$5:$J$21,2,0),"")</f>
        <v>VALDEMAR</v>
      </c>
      <c r="H48" s="18" t="str">
        <f>IFERROR(VLOOKUP(Tabela1[[#This Row],[Mat. 2]],'Base de Dados'!$I$5:$J$21,2,0),"")</f>
        <v/>
      </c>
      <c r="I48" s="18" t="str">
        <f>IFERROR(VLOOKUP(Tabela1[[#This Row],[Mat. 3]],'Base de Dados'!$I$5:$J$21,2,0),"")</f>
        <v/>
      </c>
      <c r="J48" s="18" t="str">
        <f>IFERROR(VLOOKUP(Tabela1[[#This Row],[Mat. 4]],'Base de Dados'!$I$5:$J$21,2,0),"")</f>
        <v/>
      </c>
      <c r="K48" s="18" t="str">
        <f>IFERROR(VLOOKUP(Tabela1[[#This Row],[Mat. 1]],'Base de Dados'!$I$2:$M$21,5,0),"")</f>
        <v>3º</v>
      </c>
      <c r="L48" s="18" t="s">
        <v>172</v>
      </c>
      <c r="M48" s="18" t="s">
        <v>316</v>
      </c>
      <c r="N48" s="18" t="s">
        <v>558</v>
      </c>
      <c r="O48" s="18">
        <v>30</v>
      </c>
      <c r="P48" s="18">
        <v>0</v>
      </c>
      <c r="Q48" s="45" t="s">
        <v>356</v>
      </c>
      <c r="R48" s="18" t="s">
        <v>116</v>
      </c>
      <c r="S48" s="18" t="str">
        <f>IFERROR(VLOOKUP(Tabela1[[#This Row],[Cód. Causa]],'Base de Dados'!$O$2:$P$21,2,0),"")</f>
        <v xml:space="preserve">EQUIPAMENTO TRABALHANDO COM CARGA EXCESSIVA </v>
      </c>
      <c r="T48" s="18" t="str">
        <f>IFERROR(VLOOKUP(Tabela1[[#This Row],[Tag]],'Base de Dados'!$B$2:$C$64,2,0),"")</f>
        <v>PRENSA DE MOLDAGEM CARPETE</v>
      </c>
      <c r="U48" s="18" t="str">
        <f>IFERROR(VLOOKUP(Tabela1[[#This Row],[Tag]],'Base de Dados'!V48:W100,2,0),"")</f>
        <v/>
      </c>
      <c r="V48" s="18">
        <f>DAY(Tabela1[[#This Row],[Data]])</f>
        <v>7</v>
      </c>
      <c r="W48" s="18">
        <f>MONTH(Tabela1[[#This Row],[Data]])</f>
        <v>11</v>
      </c>
      <c r="X48" s="18">
        <f>YEAR(Tabela1[[#This Row],[Data]])</f>
        <v>2022</v>
      </c>
    </row>
    <row r="49" spans="1:24" hidden="1" x14ac:dyDescent="0.25">
      <c r="A49" s="22">
        <v>12842</v>
      </c>
      <c r="B49" s="21">
        <v>44872</v>
      </c>
      <c r="C49" s="23">
        <v>493</v>
      </c>
      <c r="D49" s="24"/>
      <c r="E49" s="24"/>
      <c r="F49" s="24"/>
      <c r="G49" s="18" t="str">
        <f>IFERROR(VLOOKUP(Tabela1[[#This Row],[Mat. 1]],'Base de Dados'!$I$5:$J$21,2,0),"")</f>
        <v>ELIAS</v>
      </c>
      <c r="H49" s="18" t="str">
        <f>IFERROR(VLOOKUP(Tabela1[[#This Row],[Mat. 2]],'Base de Dados'!$I$5:$J$21,2,0),"")</f>
        <v/>
      </c>
      <c r="I49" s="18" t="str">
        <f>IFERROR(VLOOKUP(Tabela1[[#This Row],[Mat. 3]],'Base de Dados'!$I$5:$J$21,2,0),"")</f>
        <v/>
      </c>
      <c r="J49" s="18" t="str">
        <f>IFERROR(VLOOKUP(Tabela1[[#This Row],[Mat. 4]],'Base de Dados'!$I$5:$J$21,2,0),"")</f>
        <v/>
      </c>
      <c r="K49" s="18" t="str">
        <f>IFERROR(VLOOKUP(Tabela1[[#This Row],[Mat. 1]],'Base de Dados'!$I$2:$M$21,5,0),"")</f>
        <v>1º</v>
      </c>
      <c r="L49" s="18" t="s">
        <v>185</v>
      </c>
      <c r="M49" s="18" t="s">
        <v>316</v>
      </c>
      <c r="N49" s="18" t="s">
        <v>558</v>
      </c>
      <c r="O49" s="18">
        <v>40</v>
      </c>
      <c r="P49" s="18">
        <v>0</v>
      </c>
      <c r="Q49" s="45" t="s">
        <v>259</v>
      </c>
      <c r="R49" s="18" t="s">
        <v>116</v>
      </c>
      <c r="S49" s="18" t="str">
        <f>IFERROR(VLOOKUP(Tabela1[[#This Row],[Cód. Causa]],'Base de Dados'!$O$2:$P$21,2,0),"")</f>
        <v xml:space="preserve">EQUIPAMENTO TRABALHANDO COM CARGA EXCESSIVA </v>
      </c>
      <c r="T49" s="18" t="str">
        <f>IFERROR(VLOOKUP(Tabela1[[#This Row],[Tag]],'Base de Dados'!$B$2:$C$64,2,0),"")</f>
        <v>CORTE DO CARPETE- WATER JET</v>
      </c>
      <c r="U49" s="18" t="str">
        <f>IFERROR(VLOOKUP(Tabela1[[#This Row],[Tag]],'Base de Dados'!V49:W101,2,0),"")</f>
        <v/>
      </c>
      <c r="V49" s="18">
        <f>DAY(Tabela1[[#This Row],[Data]])</f>
        <v>7</v>
      </c>
      <c r="W49" s="18">
        <f>MONTH(Tabela1[[#This Row],[Data]])</f>
        <v>11</v>
      </c>
      <c r="X49" s="18">
        <f>YEAR(Tabela1[[#This Row],[Data]])</f>
        <v>2022</v>
      </c>
    </row>
    <row r="50" spans="1:24" hidden="1" x14ac:dyDescent="0.25">
      <c r="A50" s="22">
        <v>12843</v>
      </c>
      <c r="B50" s="21">
        <v>44872</v>
      </c>
      <c r="C50" s="23">
        <v>721</v>
      </c>
      <c r="D50" s="24"/>
      <c r="E50" s="24"/>
      <c r="F50" s="24"/>
      <c r="G50" s="18" t="str">
        <f>IFERROR(VLOOKUP(Tabela1[[#This Row],[Mat. 1]],'Base de Dados'!$I$5:$J$21,2,0),"")</f>
        <v>GENILSON</v>
      </c>
      <c r="H50" s="18" t="str">
        <f>IFERROR(VLOOKUP(Tabela1[[#This Row],[Mat. 2]],'Base de Dados'!$I$5:$J$21,2,0),"")</f>
        <v/>
      </c>
      <c r="I50" s="18" t="str">
        <f>IFERROR(VLOOKUP(Tabela1[[#This Row],[Mat. 3]],'Base de Dados'!$I$5:$J$21,2,0),"")</f>
        <v/>
      </c>
      <c r="J50" s="18" t="str">
        <f>IFERROR(VLOOKUP(Tabela1[[#This Row],[Mat. 4]],'Base de Dados'!$I$5:$J$21,2,0),"")</f>
        <v/>
      </c>
      <c r="K50" s="18" t="str">
        <f>IFERROR(VLOOKUP(Tabela1[[#This Row],[Mat. 1]],'Base de Dados'!$I$2:$M$21,5,0),"")</f>
        <v>1º</v>
      </c>
      <c r="L50" s="18" t="s">
        <v>179</v>
      </c>
      <c r="M50" s="18" t="s">
        <v>313</v>
      </c>
      <c r="N50" s="18" t="s">
        <v>558</v>
      </c>
      <c r="O50" s="18">
        <v>25</v>
      </c>
      <c r="P50" s="18">
        <v>0</v>
      </c>
      <c r="Q50" s="45" t="s">
        <v>357</v>
      </c>
      <c r="R50" s="18" t="s">
        <v>34</v>
      </c>
      <c r="S50" s="18" t="str">
        <f>IFERROR(VLOOKUP(Tabela1[[#This Row],[Cód. Causa]],'Base de Dados'!$O$2:$P$21,2,0),"")</f>
        <v>FALHA EM COMPONENTES ELETRONICO</v>
      </c>
      <c r="T50" s="18" t="str">
        <f>IFERROR(VLOOKUP(Tabela1[[#This Row],[Tag]],'Base de Dados'!$B$2:$C$64,2,0),"")</f>
        <v>PRENSA COM INJEÇÃO PU 2</v>
      </c>
      <c r="U50" s="18" t="str">
        <f>IFERROR(VLOOKUP(Tabela1[[#This Row],[Tag]],'Base de Dados'!V50:W102,2,0),"")</f>
        <v/>
      </c>
      <c r="V50" s="18">
        <f>DAY(Tabela1[[#This Row],[Data]])</f>
        <v>7</v>
      </c>
      <c r="W50" s="18">
        <f>MONTH(Tabela1[[#This Row],[Data]])</f>
        <v>11</v>
      </c>
      <c r="X50" s="18">
        <f>YEAR(Tabela1[[#This Row],[Data]])</f>
        <v>2022</v>
      </c>
    </row>
    <row r="51" spans="1:24" hidden="1" x14ac:dyDescent="0.25">
      <c r="A51" s="22">
        <v>12845</v>
      </c>
      <c r="B51" s="21">
        <v>44872</v>
      </c>
      <c r="C51" s="23">
        <v>721</v>
      </c>
      <c r="D51" s="24"/>
      <c r="E51" s="24"/>
      <c r="F51" s="24"/>
      <c r="G51" s="18" t="str">
        <f>IFERROR(VLOOKUP(Tabela1[[#This Row],[Mat. 1]],'Base de Dados'!$I$5:$J$21,2,0),"")</f>
        <v>GENILSON</v>
      </c>
      <c r="H51" s="18" t="str">
        <f>IFERROR(VLOOKUP(Tabela1[[#This Row],[Mat. 2]],'Base de Dados'!$I$5:$J$21,2,0),"")</f>
        <v/>
      </c>
      <c r="I51" s="18" t="str">
        <f>IFERROR(VLOOKUP(Tabela1[[#This Row],[Mat. 3]],'Base de Dados'!$I$5:$J$21,2,0),"")</f>
        <v/>
      </c>
      <c r="J51" s="18" t="str">
        <f>IFERROR(VLOOKUP(Tabela1[[#This Row],[Mat. 4]],'Base de Dados'!$I$5:$J$21,2,0),"")</f>
        <v/>
      </c>
      <c r="K51" s="18" t="str">
        <f>IFERROR(VLOOKUP(Tabela1[[#This Row],[Mat. 1]],'Base de Dados'!$I$2:$M$21,5,0),"")</f>
        <v>1º</v>
      </c>
      <c r="L51" s="18" t="s">
        <v>175</v>
      </c>
      <c r="M51" s="18" t="s">
        <v>313</v>
      </c>
      <c r="N51" s="18" t="s">
        <v>558</v>
      </c>
      <c r="O51" s="18">
        <v>20</v>
      </c>
      <c r="P51" s="18">
        <v>0</v>
      </c>
      <c r="Q51" s="45" t="s">
        <v>358</v>
      </c>
      <c r="R51" s="18" t="s">
        <v>110</v>
      </c>
      <c r="S51" s="18" t="str">
        <f>IFERROR(VLOOKUP(Tabela1[[#This Row],[Cód. Causa]],'Base de Dados'!$O$2:$P$21,2,0),"")</f>
        <v>NÃO OBSERVAÇÃO DOS PARÂMETROS DE FUNCIONAMENTO DO EQUIPAMENTO</v>
      </c>
      <c r="T51" s="18" t="str">
        <f>IFERROR(VLOOKUP(Tabela1[[#This Row],[Tag]],'Base de Dados'!$B$2:$C$64,2,0),"")</f>
        <v>PRENSA SOLDA BATE PÉ</v>
      </c>
      <c r="U51" s="18" t="str">
        <f>IFERROR(VLOOKUP(Tabela1[[#This Row],[Tag]],'Base de Dados'!V51:W103,2,0),"")</f>
        <v/>
      </c>
      <c r="V51" s="18">
        <f>DAY(Tabela1[[#This Row],[Data]])</f>
        <v>7</v>
      </c>
      <c r="W51" s="18">
        <f>MONTH(Tabela1[[#This Row],[Data]])</f>
        <v>11</v>
      </c>
      <c r="X51" s="18">
        <f>YEAR(Tabela1[[#This Row],[Data]])</f>
        <v>2022</v>
      </c>
    </row>
    <row r="52" spans="1:24" hidden="1" x14ac:dyDescent="0.25">
      <c r="A52" s="22">
        <v>12846</v>
      </c>
      <c r="B52" s="21">
        <v>44872</v>
      </c>
      <c r="C52" s="23">
        <v>493</v>
      </c>
      <c r="D52" s="24"/>
      <c r="E52" s="24"/>
      <c r="F52" s="24"/>
      <c r="G52" s="18" t="str">
        <f>IFERROR(VLOOKUP(Tabela1[[#This Row],[Mat. 1]],'Base de Dados'!$I$5:$J$21,2,0),"")</f>
        <v>ELIAS</v>
      </c>
      <c r="H52" s="18" t="str">
        <f>IFERROR(VLOOKUP(Tabela1[[#This Row],[Mat. 2]],'Base de Dados'!$I$5:$J$21,2,0),"")</f>
        <v/>
      </c>
      <c r="I52" s="18" t="str">
        <f>IFERROR(VLOOKUP(Tabela1[[#This Row],[Mat. 3]],'Base de Dados'!$I$5:$J$21,2,0),"")</f>
        <v/>
      </c>
      <c r="J52" s="18" t="str">
        <f>IFERROR(VLOOKUP(Tabela1[[#This Row],[Mat. 4]],'Base de Dados'!$I$5:$J$21,2,0),"")</f>
        <v/>
      </c>
      <c r="K52" s="18" t="str">
        <f>IFERROR(VLOOKUP(Tabela1[[#This Row],[Mat. 1]],'Base de Dados'!$I$2:$M$21,5,0),"")</f>
        <v>1º</v>
      </c>
      <c r="L52" s="18" t="s">
        <v>172</v>
      </c>
      <c r="M52" s="18" t="s">
        <v>316</v>
      </c>
      <c r="N52" s="18" t="s">
        <v>558</v>
      </c>
      <c r="O52" s="18">
        <v>45</v>
      </c>
      <c r="P52" s="18">
        <v>0</v>
      </c>
      <c r="Q52" s="45" t="s">
        <v>351</v>
      </c>
      <c r="R52" s="18" t="s">
        <v>116</v>
      </c>
      <c r="S52" s="18" t="str">
        <f>IFERROR(VLOOKUP(Tabela1[[#This Row],[Cód. Causa]],'Base de Dados'!$O$2:$P$21,2,0),"")</f>
        <v xml:space="preserve">EQUIPAMENTO TRABALHANDO COM CARGA EXCESSIVA </v>
      </c>
      <c r="T52" s="18" t="str">
        <f>IFERROR(VLOOKUP(Tabela1[[#This Row],[Tag]],'Base de Dados'!$B$2:$C$64,2,0),"")</f>
        <v>PRENSA DE MOLDAGEM CARPETE</v>
      </c>
      <c r="U52" s="18" t="str">
        <f>IFERROR(VLOOKUP(Tabela1[[#This Row],[Tag]],'Base de Dados'!V52:W104,2,0),"")</f>
        <v/>
      </c>
      <c r="V52" s="18">
        <f>DAY(Tabela1[[#This Row],[Data]])</f>
        <v>7</v>
      </c>
      <c r="W52" s="18">
        <f>MONTH(Tabela1[[#This Row],[Data]])</f>
        <v>11</v>
      </c>
      <c r="X52" s="18">
        <f>YEAR(Tabela1[[#This Row],[Data]])</f>
        <v>2022</v>
      </c>
    </row>
    <row r="53" spans="1:24" hidden="1" x14ac:dyDescent="0.25">
      <c r="A53" s="22">
        <v>12916</v>
      </c>
      <c r="B53" s="21">
        <v>44872</v>
      </c>
      <c r="C53" s="23">
        <v>248</v>
      </c>
      <c r="D53" s="24">
        <v>677</v>
      </c>
      <c r="E53" s="24"/>
      <c r="F53" s="24"/>
      <c r="G53" s="18" t="str">
        <f>IFERROR(VLOOKUP(Tabela1[[#This Row],[Mat. 1]],'Base de Dados'!$I$5:$J$21,2,0),"")</f>
        <v>RUIGUENS</v>
      </c>
      <c r="H53" s="18" t="str">
        <f>IFERROR(VLOOKUP(Tabela1[[#This Row],[Mat. 2]],'Base de Dados'!$I$5:$J$21,2,0),"")</f>
        <v>RAFAEL</v>
      </c>
      <c r="I53" s="18" t="str">
        <f>IFERROR(VLOOKUP(Tabela1[[#This Row],[Mat. 3]],'Base de Dados'!$I$5:$J$21,2,0),"")</f>
        <v/>
      </c>
      <c r="J53" s="18" t="str">
        <f>IFERROR(VLOOKUP(Tabela1[[#This Row],[Mat. 4]],'Base de Dados'!$I$5:$J$21,2,0),"")</f>
        <v/>
      </c>
      <c r="K53" s="18" t="str">
        <f>IFERROR(VLOOKUP(Tabela1[[#This Row],[Mat. 1]],'Base de Dados'!$I$2:$M$21,5,0),"")</f>
        <v>2º</v>
      </c>
      <c r="L53" s="18" t="s">
        <v>130</v>
      </c>
      <c r="M53" s="18" t="s">
        <v>316</v>
      </c>
      <c r="N53" s="18" t="s">
        <v>558</v>
      </c>
      <c r="O53" s="18">
        <v>60</v>
      </c>
      <c r="P53" s="18">
        <v>0</v>
      </c>
      <c r="Q53" s="45" t="s">
        <v>359</v>
      </c>
      <c r="R53" s="18" t="s">
        <v>116</v>
      </c>
      <c r="S53" s="18" t="str">
        <f>IFERROR(VLOOKUP(Tabela1[[#This Row],[Cód. Causa]],'Base de Dados'!$O$2:$P$21,2,0),"")</f>
        <v xml:space="preserve">EQUIPAMENTO TRABALHANDO COM CARGA EXCESSIVA </v>
      </c>
      <c r="T53" s="18" t="str">
        <f>IFERROR(VLOOKUP(Tabela1[[#This Row],[Tag]],'Base de Dados'!$B$2:$C$64,2,0),"")</f>
        <v>PRENSA ACOPL. TECIDO DO TETO 2</v>
      </c>
      <c r="U53" s="18" t="str">
        <f>IFERROR(VLOOKUP(Tabela1[[#This Row],[Tag]],'Base de Dados'!V53:W105,2,0),"")</f>
        <v/>
      </c>
      <c r="V53" s="18">
        <f>DAY(Tabela1[[#This Row],[Data]])</f>
        <v>7</v>
      </c>
      <c r="W53" s="18">
        <f>MONTH(Tabela1[[#This Row],[Data]])</f>
        <v>11</v>
      </c>
      <c r="X53" s="18">
        <f>YEAR(Tabela1[[#This Row],[Data]])</f>
        <v>2022</v>
      </c>
    </row>
    <row r="54" spans="1:24" hidden="1" x14ac:dyDescent="0.25">
      <c r="A54" s="22">
        <v>12955</v>
      </c>
      <c r="B54" s="21">
        <v>44872</v>
      </c>
      <c r="C54" s="23">
        <v>73</v>
      </c>
      <c r="D54" s="24"/>
      <c r="E54" s="24"/>
      <c r="F54" s="24"/>
      <c r="G54" s="18" t="str">
        <f>IFERROR(VLOOKUP(Tabela1[[#This Row],[Mat. 1]],'Base de Dados'!$I$5:$J$21,2,0),"")</f>
        <v>VALDEMAR</v>
      </c>
      <c r="H54" s="18" t="str">
        <f>IFERROR(VLOOKUP(Tabela1[[#This Row],[Mat. 2]],'Base de Dados'!$I$5:$J$21,2,0),"")</f>
        <v/>
      </c>
      <c r="I54" s="18" t="str">
        <f>IFERROR(VLOOKUP(Tabela1[[#This Row],[Mat. 3]],'Base de Dados'!$I$5:$J$21,2,0),"")</f>
        <v/>
      </c>
      <c r="J54" s="18" t="str">
        <f>IFERROR(VLOOKUP(Tabela1[[#This Row],[Mat. 4]],'Base de Dados'!$I$5:$J$21,2,0),"")</f>
        <v/>
      </c>
      <c r="K54" s="18" t="str">
        <f>IFERROR(VLOOKUP(Tabela1[[#This Row],[Mat. 1]],'Base de Dados'!$I$2:$M$21,5,0),"")</f>
        <v>3º</v>
      </c>
      <c r="L54" s="18" t="s">
        <v>112</v>
      </c>
      <c r="M54" s="18" t="s">
        <v>316</v>
      </c>
      <c r="N54" s="18" t="s">
        <v>558</v>
      </c>
      <c r="O54" s="18">
        <v>225</v>
      </c>
      <c r="P54" s="18">
        <v>0</v>
      </c>
      <c r="Q54" s="45" t="s">
        <v>360</v>
      </c>
      <c r="R54" s="18" t="s">
        <v>116</v>
      </c>
      <c r="S54" s="18" t="str">
        <f>IFERROR(VLOOKUP(Tabela1[[#This Row],[Cód. Causa]],'Base de Dados'!$O$2:$P$21,2,0),"")</f>
        <v xml:space="preserve">EQUIPAMENTO TRABALHANDO COM CARGA EXCESSIVA </v>
      </c>
      <c r="T54" s="18" t="str">
        <f>IFERROR(VLOOKUP(Tabela1[[#This Row],[Tag]],'Base de Dados'!$B$2:$C$64,2,0),"")</f>
        <v>ROBÔ ABB APLIC. COLA DO TETO</v>
      </c>
      <c r="U54" s="18" t="str">
        <f>IFERROR(VLOOKUP(Tabela1[[#This Row],[Tag]],'Base de Dados'!V54:W106,2,0),"")</f>
        <v/>
      </c>
      <c r="V54" s="18">
        <f>DAY(Tabela1[[#This Row],[Data]])</f>
        <v>7</v>
      </c>
      <c r="W54" s="18">
        <f>MONTH(Tabela1[[#This Row],[Data]])</f>
        <v>11</v>
      </c>
      <c r="X54" s="18">
        <f>YEAR(Tabela1[[#This Row],[Data]])</f>
        <v>2022</v>
      </c>
    </row>
    <row r="55" spans="1:24" hidden="1" x14ac:dyDescent="0.25">
      <c r="A55" s="22">
        <v>12956</v>
      </c>
      <c r="B55" s="21">
        <v>44872</v>
      </c>
      <c r="C55" s="23">
        <v>782</v>
      </c>
      <c r="D55" s="24"/>
      <c r="E55" s="24"/>
      <c r="F55" s="24"/>
      <c r="G55" s="18" t="str">
        <f>IFERROR(VLOOKUP(Tabela1[[#This Row],[Mat. 1]],'Base de Dados'!$I$5:$J$21,2,0),"")</f>
        <v>JOSÉ</v>
      </c>
      <c r="H55" s="18" t="str">
        <f>IFERROR(VLOOKUP(Tabela1[[#This Row],[Mat. 2]],'Base de Dados'!$I$5:$J$21,2,0),"")</f>
        <v/>
      </c>
      <c r="I55" s="18" t="str">
        <f>IFERROR(VLOOKUP(Tabela1[[#This Row],[Mat. 3]],'Base de Dados'!$I$5:$J$21,2,0),"")</f>
        <v/>
      </c>
      <c r="J55" s="18" t="str">
        <f>IFERROR(VLOOKUP(Tabela1[[#This Row],[Mat. 4]],'Base de Dados'!$I$5:$J$21,2,0),"")</f>
        <v/>
      </c>
      <c r="K55" s="18" t="str">
        <f>IFERROR(VLOOKUP(Tabela1[[#This Row],[Mat. 1]],'Base de Dados'!$I$2:$M$21,5,0),"")</f>
        <v>3º</v>
      </c>
      <c r="L55" s="18" t="s">
        <v>104</v>
      </c>
      <c r="M55" s="18" t="s">
        <v>313</v>
      </c>
      <c r="N55" s="18" t="s">
        <v>558</v>
      </c>
      <c r="O55" s="18">
        <v>5</v>
      </c>
      <c r="P55" s="18">
        <v>0</v>
      </c>
      <c r="Q55" s="45" t="s">
        <v>336</v>
      </c>
      <c r="R55" s="18" t="s">
        <v>34</v>
      </c>
      <c r="S55" s="18" t="str">
        <f>IFERROR(VLOOKUP(Tabela1[[#This Row],[Cód. Causa]],'Base de Dados'!$O$2:$P$21,2,0),"")</f>
        <v>FALHA EM COMPONENTES ELETRONICO</v>
      </c>
      <c r="T55" s="18" t="str">
        <f>IFERROR(VLOOKUP(Tabela1[[#This Row],[Tag]],'Base de Dados'!$B$2:$C$64,2,0),"")</f>
        <v>PRENSA MOLDAGEM 2</v>
      </c>
      <c r="U55" s="18" t="str">
        <f>IFERROR(VLOOKUP(Tabela1[[#This Row],[Tag]],'Base de Dados'!V55:W107,2,0),"")</f>
        <v/>
      </c>
      <c r="V55" s="18">
        <f>DAY(Tabela1[[#This Row],[Data]])</f>
        <v>7</v>
      </c>
      <c r="W55" s="18">
        <f>MONTH(Tabela1[[#This Row],[Data]])</f>
        <v>11</v>
      </c>
      <c r="X55" s="18">
        <f>YEAR(Tabela1[[#This Row],[Data]])</f>
        <v>2022</v>
      </c>
    </row>
    <row r="56" spans="1:24" hidden="1" x14ac:dyDescent="0.25">
      <c r="A56" s="22">
        <v>12958</v>
      </c>
      <c r="B56" s="21">
        <v>44872</v>
      </c>
      <c r="C56" s="23">
        <v>782</v>
      </c>
      <c r="D56" s="24"/>
      <c r="E56" s="24"/>
      <c r="F56" s="24"/>
      <c r="G56" s="18" t="str">
        <f>IFERROR(VLOOKUP(Tabela1[[#This Row],[Mat. 1]],'Base de Dados'!$I$5:$J$21,2,0),"")</f>
        <v>JOSÉ</v>
      </c>
      <c r="H56" s="18" t="str">
        <f>IFERROR(VLOOKUP(Tabela1[[#This Row],[Mat. 2]],'Base de Dados'!$I$5:$J$21,2,0),"")</f>
        <v/>
      </c>
      <c r="I56" s="18" t="str">
        <f>IFERROR(VLOOKUP(Tabela1[[#This Row],[Mat. 3]],'Base de Dados'!$I$5:$J$21,2,0),"")</f>
        <v/>
      </c>
      <c r="J56" s="18" t="str">
        <f>IFERROR(VLOOKUP(Tabela1[[#This Row],[Mat. 4]],'Base de Dados'!$I$5:$J$21,2,0),"")</f>
        <v/>
      </c>
      <c r="K56" s="18" t="str">
        <f>IFERROR(VLOOKUP(Tabela1[[#This Row],[Mat. 1]],'Base de Dados'!$I$2:$M$21,5,0),"")</f>
        <v>3º</v>
      </c>
      <c r="L56" s="18" t="s">
        <v>240</v>
      </c>
      <c r="M56" s="18" t="s">
        <v>313</v>
      </c>
      <c r="N56" s="18" t="s">
        <v>558</v>
      </c>
      <c r="O56" s="18">
        <v>20</v>
      </c>
      <c r="P56" s="18">
        <v>0</v>
      </c>
      <c r="Q56" s="45" t="s">
        <v>361</v>
      </c>
      <c r="R56" s="18" t="s">
        <v>34</v>
      </c>
      <c r="S56" s="18" t="str">
        <f>IFERROR(VLOOKUP(Tabela1[[#This Row],[Cód. Causa]],'Base de Dados'!$O$2:$P$21,2,0),"")</f>
        <v>FALHA EM COMPONENTES ELETRONICO</v>
      </c>
      <c r="T56" s="18" t="str">
        <f>IFERROR(VLOOKUP(Tabela1[[#This Row],[Tag]],'Base de Dados'!$B$2:$C$64,2,0),"")</f>
        <v/>
      </c>
      <c r="U56" s="18" t="str">
        <f>IFERROR(VLOOKUP(Tabela1[[#This Row],[Tag]],'Base de Dados'!V56:W108,2,0),"")</f>
        <v/>
      </c>
      <c r="V56" s="18">
        <f>DAY(Tabela1[[#This Row],[Data]])</f>
        <v>7</v>
      </c>
      <c r="W56" s="18">
        <f>MONTH(Tabela1[[#This Row],[Data]])</f>
        <v>11</v>
      </c>
      <c r="X56" s="18">
        <f>YEAR(Tabela1[[#This Row],[Data]])</f>
        <v>2022</v>
      </c>
    </row>
    <row r="57" spans="1:24" hidden="1" x14ac:dyDescent="0.25">
      <c r="A57" s="22">
        <v>12959</v>
      </c>
      <c r="B57" s="21">
        <v>44872</v>
      </c>
      <c r="C57" s="23">
        <v>248</v>
      </c>
      <c r="D57" s="24">
        <v>677</v>
      </c>
      <c r="E57" s="24"/>
      <c r="F57" s="24"/>
      <c r="G57" s="18" t="str">
        <f>IFERROR(VLOOKUP(Tabela1[[#This Row],[Mat. 1]],'Base de Dados'!$I$5:$J$21,2,0),"")</f>
        <v>RUIGUENS</v>
      </c>
      <c r="H57" s="18" t="str">
        <f>IFERROR(VLOOKUP(Tabela1[[#This Row],[Mat. 2]],'Base de Dados'!$I$5:$J$21,2,0),"")</f>
        <v>RAFAEL</v>
      </c>
      <c r="I57" s="18" t="str">
        <f>IFERROR(VLOOKUP(Tabela1[[#This Row],[Mat. 3]],'Base de Dados'!$I$5:$J$21,2,0),"")</f>
        <v/>
      </c>
      <c r="J57" s="18" t="str">
        <f>IFERROR(VLOOKUP(Tabela1[[#This Row],[Mat. 4]],'Base de Dados'!$I$5:$J$21,2,0),"")</f>
        <v/>
      </c>
      <c r="K57" s="18" t="str">
        <f>IFERROR(VLOOKUP(Tabela1[[#This Row],[Mat. 1]],'Base de Dados'!$I$2:$M$21,5,0),"")</f>
        <v>2º</v>
      </c>
      <c r="L57" s="18" t="s">
        <v>149</v>
      </c>
      <c r="M57" s="18" t="s">
        <v>316</v>
      </c>
      <c r="N57" s="18" t="s">
        <v>558</v>
      </c>
      <c r="O57" s="18">
        <v>20</v>
      </c>
      <c r="P57" s="18">
        <v>0</v>
      </c>
      <c r="Q57" s="45" t="s">
        <v>362</v>
      </c>
      <c r="R57" s="18" t="s">
        <v>116</v>
      </c>
      <c r="S57" s="18" t="str">
        <f>IFERROR(VLOOKUP(Tabela1[[#This Row],[Cód. Causa]],'Base de Dados'!$O$2:$P$21,2,0),"")</f>
        <v xml:space="preserve">EQUIPAMENTO TRABALHANDO COM CARGA EXCESSIVA </v>
      </c>
      <c r="T57" s="18" t="str">
        <f>IFERROR(VLOOKUP(Tabela1[[#This Row],[Tag]],'Base de Dados'!$B$2:$C$64,2,0),"")</f>
        <v>PRENSA ACOPLAGEM CARPETE</v>
      </c>
      <c r="U57" s="18" t="str">
        <f>IFERROR(VLOOKUP(Tabela1[[#This Row],[Tag]],'Base de Dados'!V57:W109,2,0),"")</f>
        <v/>
      </c>
      <c r="V57" s="18">
        <f>DAY(Tabela1[[#This Row],[Data]])</f>
        <v>7</v>
      </c>
      <c r="W57" s="18">
        <f>MONTH(Tabela1[[#This Row],[Data]])</f>
        <v>11</v>
      </c>
      <c r="X57" s="18">
        <f>YEAR(Tabela1[[#This Row],[Data]])</f>
        <v>2022</v>
      </c>
    </row>
    <row r="58" spans="1:24" hidden="1" x14ac:dyDescent="0.25">
      <c r="A58" s="22" t="s">
        <v>328</v>
      </c>
      <c r="B58" s="21">
        <v>44872</v>
      </c>
      <c r="C58" s="23">
        <v>248</v>
      </c>
      <c r="D58" s="24"/>
      <c r="E58" s="24"/>
      <c r="F58" s="24"/>
      <c r="G58" s="18" t="str">
        <f>IFERROR(VLOOKUP(Tabela1[[#This Row],[Mat. 1]],'Base de Dados'!$I$5:$J$21,2,0),"")</f>
        <v>RUIGUENS</v>
      </c>
      <c r="H58" s="18" t="str">
        <f>IFERROR(VLOOKUP(Tabela1[[#This Row],[Mat. 2]],'Base de Dados'!$I$5:$J$21,2,0),"")</f>
        <v/>
      </c>
      <c r="I58" s="18" t="str">
        <f>IFERROR(VLOOKUP(Tabela1[[#This Row],[Mat. 3]],'Base de Dados'!$I$5:$J$21,2,0),"")</f>
        <v/>
      </c>
      <c r="J58" s="18" t="str">
        <f>IFERROR(VLOOKUP(Tabela1[[#This Row],[Mat. 4]],'Base de Dados'!$I$5:$J$21,2,0),"")</f>
        <v/>
      </c>
      <c r="K58" s="18" t="str">
        <f>IFERROR(VLOOKUP(Tabela1[[#This Row],[Mat. 1]],'Base de Dados'!$I$2:$M$21,5,0),"")</f>
        <v>2º</v>
      </c>
      <c r="L58" s="18" t="s">
        <v>363</v>
      </c>
      <c r="M58" s="18" t="s">
        <v>316</v>
      </c>
      <c r="N58" s="18" t="s">
        <v>558</v>
      </c>
      <c r="O58" s="18">
        <v>8</v>
      </c>
      <c r="P58" s="18">
        <v>0</v>
      </c>
      <c r="Q58" s="45" t="s">
        <v>364</v>
      </c>
      <c r="R58" s="18" t="s">
        <v>116</v>
      </c>
      <c r="S58" s="18" t="str">
        <f>IFERROR(VLOOKUP(Tabela1[[#This Row],[Cód. Causa]],'Base de Dados'!$O$2:$P$21,2,0),"")</f>
        <v xml:space="preserve">EQUIPAMENTO TRABALHANDO COM CARGA EXCESSIVA </v>
      </c>
      <c r="T58" s="18" t="str">
        <f>IFERROR(VLOOKUP(Tabela1[[#This Row],[Tag]],'Base de Dados'!$B$2:$C$64,2,0),"")</f>
        <v/>
      </c>
      <c r="U58" s="18" t="str">
        <f>IFERROR(VLOOKUP(Tabela1[[#This Row],[Tag]],'Base de Dados'!V58:W110,2,0),"")</f>
        <v/>
      </c>
      <c r="V58" s="18">
        <f>DAY(Tabela1[[#This Row],[Data]])</f>
        <v>7</v>
      </c>
      <c r="W58" s="18">
        <f>MONTH(Tabela1[[#This Row],[Data]])</f>
        <v>11</v>
      </c>
      <c r="X58" s="18">
        <f>YEAR(Tabela1[[#This Row],[Data]])</f>
        <v>2022</v>
      </c>
    </row>
    <row r="59" spans="1:24" hidden="1" x14ac:dyDescent="0.25">
      <c r="A59" s="22" t="s">
        <v>328</v>
      </c>
      <c r="B59" s="21">
        <v>44872</v>
      </c>
      <c r="C59" s="23">
        <v>248</v>
      </c>
      <c r="D59" s="24">
        <v>677</v>
      </c>
      <c r="E59" s="24"/>
      <c r="F59" s="24"/>
      <c r="G59" s="18" t="str">
        <f>IFERROR(VLOOKUP(Tabela1[[#This Row],[Mat. 1]],'Base de Dados'!$I$5:$J$21,2,0),"")</f>
        <v>RUIGUENS</v>
      </c>
      <c r="H59" s="18" t="str">
        <f>IFERROR(VLOOKUP(Tabela1[[#This Row],[Mat. 2]],'Base de Dados'!$I$5:$J$21,2,0),"")</f>
        <v>RAFAEL</v>
      </c>
      <c r="I59" s="18" t="str">
        <f>IFERROR(VLOOKUP(Tabela1[[#This Row],[Mat. 3]],'Base de Dados'!$I$5:$J$21,2,0),"")</f>
        <v/>
      </c>
      <c r="J59" s="18" t="str">
        <f>IFERROR(VLOOKUP(Tabela1[[#This Row],[Mat. 4]],'Base de Dados'!$I$5:$J$21,2,0),"")</f>
        <v/>
      </c>
      <c r="K59" s="18" t="str">
        <f>IFERROR(VLOOKUP(Tabela1[[#This Row],[Mat. 1]],'Base de Dados'!$I$2:$M$21,5,0),"")</f>
        <v>2º</v>
      </c>
      <c r="L59" s="18" t="s">
        <v>156</v>
      </c>
      <c r="M59" s="18" t="s">
        <v>316</v>
      </c>
      <c r="N59" s="18" t="s">
        <v>558</v>
      </c>
      <c r="O59" s="18">
        <v>25</v>
      </c>
      <c r="P59" s="18">
        <v>0</v>
      </c>
      <c r="Q59" s="45" t="s">
        <v>365</v>
      </c>
      <c r="R59" s="18" t="s">
        <v>116</v>
      </c>
      <c r="S59" s="18" t="str">
        <f>IFERROR(VLOOKUP(Tabela1[[#This Row],[Cód. Causa]],'Base de Dados'!$O$2:$P$21,2,0),"")</f>
        <v xml:space="preserve">EQUIPAMENTO TRABALHANDO COM CARGA EXCESSIVA </v>
      </c>
      <c r="T59" s="18" t="str">
        <f>IFERROR(VLOOKUP(Tabela1[[#This Row],[Tag]],'Base de Dados'!$B$2:$C$64,2,0),"")</f>
        <v>PRENSA DE ACOPLAGEM TPO</v>
      </c>
      <c r="U59" s="18" t="str">
        <f>IFERROR(VLOOKUP(Tabela1[[#This Row],[Tag]],'Base de Dados'!V59:W111,2,0),"")</f>
        <v/>
      </c>
      <c r="V59" s="18">
        <f>DAY(Tabela1[[#This Row],[Data]])</f>
        <v>7</v>
      </c>
      <c r="W59" s="18">
        <f>MONTH(Tabela1[[#This Row],[Data]])</f>
        <v>11</v>
      </c>
      <c r="X59" s="18">
        <f>YEAR(Tabela1[[#This Row],[Data]])</f>
        <v>2022</v>
      </c>
    </row>
    <row r="60" spans="1:24" hidden="1" x14ac:dyDescent="0.25">
      <c r="A60" s="22" t="s">
        <v>328</v>
      </c>
      <c r="B60" s="21">
        <v>44872</v>
      </c>
      <c r="C60" s="23">
        <v>677</v>
      </c>
      <c r="D60" s="24"/>
      <c r="E60" s="24"/>
      <c r="F60" s="24"/>
      <c r="G60" s="18" t="str">
        <f>IFERROR(VLOOKUP(Tabela1[[#This Row],[Mat. 1]],'Base de Dados'!$I$5:$J$21,2,0),"")</f>
        <v>RAFAEL</v>
      </c>
      <c r="H60" s="18" t="str">
        <f>IFERROR(VLOOKUP(Tabela1[[#This Row],[Mat. 2]],'Base de Dados'!$I$5:$J$21,2,0),"")</f>
        <v/>
      </c>
      <c r="I60" s="18" t="str">
        <f>IFERROR(VLOOKUP(Tabela1[[#This Row],[Mat. 3]],'Base de Dados'!$I$5:$J$21,2,0),"")</f>
        <v/>
      </c>
      <c r="J60" s="18" t="str">
        <f>IFERROR(VLOOKUP(Tabela1[[#This Row],[Mat. 4]],'Base de Dados'!$I$5:$J$21,2,0),"")</f>
        <v/>
      </c>
      <c r="K60" s="18" t="str">
        <f>IFERROR(VLOOKUP(Tabela1[[#This Row],[Mat. 1]],'Base de Dados'!$I$2:$M$21,5,0),"")</f>
        <v>2º</v>
      </c>
      <c r="L60" s="18" t="s">
        <v>366</v>
      </c>
      <c r="M60" s="18" t="s">
        <v>316</v>
      </c>
      <c r="N60" s="18" t="s">
        <v>558</v>
      </c>
      <c r="O60" s="18">
        <v>10</v>
      </c>
      <c r="P60" s="18">
        <v>0</v>
      </c>
      <c r="Q60" s="45" t="s">
        <v>354</v>
      </c>
      <c r="R60" s="18" t="s">
        <v>116</v>
      </c>
      <c r="S60" s="18" t="str">
        <f>IFERROR(VLOOKUP(Tabela1[[#This Row],[Cód. Causa]],'Base de Dados'!$O$2:$P$21,2,0),"")</f>
        <v xml:space="preserve">EQUIPAMENTO TRABALHANDO COM CARGA EXCESSIVA </v>
      </c>
      <c r="T60" s="18" t="str">
        <f>IFERROR(VLOOKUP(Tabela1[[#This Row],[Tag]],'Base de Dados'!$B$2:$C$64,2,0),"")</f>
        <v/>
      </c>
      <c r="U60" s="18" t="str">
        <f>IFERROR(VLOOKUP(Tabela1[[#This Row],[Tag]],'Base de Dados'!V60:W112,2,0),"")</f>
        <v/>
      </c>
      <c r="V60" s="18">
        <f>DAY(Tabela1[[#This Row],[Data]])</f>
        <v>7</v>
      </c>
      <c r="W60" s="18">
        <f>MONTH(Tabela1[[#This Row],[Data]])</f>
        <v>11</v>
      </c>
      <c r="X60" s="18">
        <f>YEAR(Tabela1[[#This Row],[Data]])</f>
        <v>2022</v>
      </c>
    </row>
    <row r="61" spans="1:24" hidden="1" x14ac:dyDescent="0.25">
      <c r="A61" s="22">
        <v>12195</v>
      </c>
      <c r="B61" s="21">
        <v>44873</v>
      </c>
      <c r="C61" s="23">
        <v>248</v>
      </c>
      <c r="D61" s="24">
        <v>631</v>
      </c>
      <c r="E61" s="24">
        <v>677</v>
      </c>
      <c r="F61" s="24"/>
      <c r="G61" s="18" t="str">
        <f>IFERROR(VLOOKUP(Tabela1[[#This Row],[Mat. 1]],'Base de Dados'!$I$5:$J$21,2,0),"")</f>
        <v>RUIGUENS</v>
      </c>
      <c r="H61" s="18" t="str">
        <f>IFERROR(VLOOKUP(Tabela1[[#This Row],[Mat. 2]],'Base de Dados'!$I$5:$J$21,2,0),"")</f>
        <v>JOSINALDO</v>
      </c>
      <c r="I61" s="18" t="str">
        <f>IFERROR(VLOOKUP(Tabela1[[#This Row],[Mat. 3]],'Base de Dados'!$I$5:$J$21,2,0),"")</f>
        <v>RAFAEL</v>
      </c>
      <c r="J61" s="18" t="str">
        <f>IFERROR(VLOOKUP(Tabela1[[#This Row],[Mat. 4]],'Base de Dados'!$I$5:$J$21,2,0),"")</f>
        <v/>
      </c>
      <c r="K61" s="18" t="str">
        <f>IFERROR(VLOOKUP(Tabela1[[#This Row],[Mat. 1]],'Base de Dados'!$I$2:$M$21,5,0),"")</f>
        <v>2º</v>
      </c>
      <c r="L61" s="18" t="s">
        <v>98</v>
      </c>
      <c r="M61" s="18" t="s">
        <v>316</v>
      </c>
      <c r="N61" s="18" t="s">
        <v>558</v>
      </c>
      <c r="O61" s="18">
        <v>56</v>
      </c>
      <c r="P61" s="18">
        <v>0</v>
      </c>
      <c r="Q61" s="45" t="s">
        <v>359</v>
      </c>
      <c r="R61" s="18" t="s">
        <v>116</v>
      </c>
      <c r="S61" s="18" t="str">
        <f>IFERROR(VLOOKUP(Tabela1[[#This Row],[Cód. Causa]],'Base de Dados'!$O$2:$P$21,2,0),"")</f>
        <v xml:space="preserve">EQUIPAMENTO TRABALHANDO COM CARGA EXCESSIVA </v>
      </c>
      <c r="T61" s="18" t="str">
        <f>IFERROR(VLOOKUP(Tabela1[[#This Row],[Tag]],'Base de Dados'!$B$2:$C$64,2,0),"")</f>
        <v>PRENSA MOLDAGEM 1</v>
      </c>
      <c r="U61" s="18" t="str">
        <f>IFERROR(VLOOKUP(Tabela1[[#This Row],[Tag]],'Base de Dados'!V61:W113,2,0),"")</f>
        <v/>
      </c>
      <c r="V61" s="18">
        <f>DAY(Tabela1[[#This Row],[Data]])</f>
        <v>8</v>
      </c>
      <c r="W61" s="18">
        <f>MONTH(Tabela1[[#This Row],[Data]])</f>
        <v>11</v>
      </c>
      <c r="X61" s="18">
        <f>YEAR(Tabela1[[#This Row],[Data]])</f>
        <v>2022</v>
      </c>
    </row>
    <row r="62" spans="1:24" hidden="1" x14ac:dyDescent="0.25">
      <c r="A62" s="22">
        <v>12655</v>
      </c>
      <c r="B62" s="21">
        <v>44873</v>
      </c>
      <c r="C62" s="23">
        <v>73</v>
      </c>
      <c r="D62" s="24"/>
      <c r="E62" s="24"/>
      <c r="F62" s="24"/>
      <c r="G62" s="18" t="str">
        <f>IFERROR(VLOOKUP(Tabela1[[#This Row],[Mat. 1]],'Base de Dados'!$I$5:$J$21,2,0),"")</f>
        <v>VALDEMAR</v>
      </c>
      <c r="H62" s="18" t="str">
        <f>IFERROR(VLOOKUP(Tabela1[[#This Row],[Mat. 2]],'Base de Dados'!$I$5:$J$21,2,0),"")</f>
        <v/>
      </c>
      <c r="I62" s="18" t="str">
        <f>IFERROR(VLOOKUP(Tabela1[[#This Row],[Mat. 3]],'Base de Dados'!$I$5:$J$21,2,0),"")</f>
        <v/>
      </c>
      <c r="J62" s="18" t="str">
        <f>IFERROR(VLOOKUP(Tabela1[[#This Row],[Mat. 4]],'Base de Dados'!$I$5:$J$21,2,0),"")</f>
        <v/>
      </c>
      <c r="K62" s="18" t="str">
        <f>IFERROR(VLOOKUP(Tabela1[[#This Row],[Mat. 1]],'Base de Dados'!$I$2:$M$21,5,0),"")</f>
        <v>3º</v>
      </c>
      <c r="L62" s="18" t="s">
        <v>47</v>
      </c>
      <c r="M62" s="18" t="s">
        <v>316</v>
      </c>
      <c r="N62" s="18" t="s">
        <v>558</v>
      </c>
      <c r="O62" s="18">
        <v>87</v>
      </c>
      <c r="P62" s="18">
        <v>0</v>
      </c>
      <c r="Q62" s="45" t="s">
        <v>367</v>
      </c>
      <c r="R62" s="18" t="s">
        <v>116</v>
      </c>
      <c r="S62" s="18" t="str">
        <f>IFERROR(VLOOKUP(Tabela1[[#This Row],[Cód. Causa]],'Base de Dados'!$O$2:$P$21,2,0),"")</f>
        <v xml:space="preserve">EQUIPAMENTO TRABALHANDO COM CARGA EXCESSIVA </v>
      </c>
      <c r="T62" s="18" t="str">
        <f>IFERROR(VLOOKUP(Tabela1[[#This Row],[Tag]],'Base de Dados'!$B$2:$C$64,2,0),"")</f>
        <v>PRENSA MOLDAGEM INNER DASH</v>
      </c>
      <c r="U62" s="18" t="str">
        <f>IFERROR(VLOOKUP(Tabela1[[#This Row],[Tag]],'Base de Dados'!V62:W114,2,0),"")</f>
        <v/>
      </c>
      <c r="V62" s="18">
        <f>DAY(Tabela1[[#This Row],[Data]])</f>
        <v>8</v>
      </c>
      <c r="W62" s="18">
        <f>MONTH(Tabela1[[#This Row],[Data]])</f>
        <v>11</v>
      </c>
      <c r="X62" s="18">
        <f>YEAR(Tabela1[[#This Row],[Data]])</f>
        <v>2022</v>
      </c>
    </row>
    <row r="63" spans="1:24" hidden="1" x14ac:dyDescent="0.25">
      <c r="A63" s="22">
        <v>12918</v>
      </c>
      <c r="B63" s="21">
        <v>44873</v>
      </c>
      <c r="C63" s="23">
        <v>15</v>
      </c>
      <c r="D63" s="24">
        <v>739</v>
      </c>
      <c r="E63" s="24"/>
      <c r="F63" s="24"/>
      <c r="G63" s="18" t="str">
        <f>IFERROR(VLOOKUP(Tabela1[[#This Row],[Mat. 1]],'Base de Dados'!$I$5:$J$21,2,0),"")</f>
        <v>ROBERT</v>
      </c>
      <c r="H63" s="18" t="str">
        <f>IFERROR(VLOOKUP(Tabela1[[#This Row],[Mat. 2]],'Base de Dados'!$I$5:$J$21,2,0),"")</f>
        <v>DANILLO</v>
      </c>
      <c r="I63" s="18" t="str">
        <f>IFERROR(VLOOKUP(Tabela1[[#This Row],[Mat. 3]],'Base de Dados'!$I$5:$J$21,2,0),"")</f>
        <v/>
      </c>
      <c r="J63" s="18" t="str">
        <f>IFERROR(VLOOKUP(Tabela1[[#This Row],[Mat. 4]],'Base de Dados'!$I$5:$J$21,2,0),"")</f>
        <v/>
      </c>
      <c r="K63" s="18" t="str">
        <f>IFERROR(VLOOKUP(Tabela1[[#This Row],[Mat. 1]],'Base de Dados'!$I$2:$M$21,5,0),"")</f>
        <v>1º</v>
      </c>
      <c r="L63" s="18" t="s">
        <v>368</v>
      </c>
      <c r="M63" s="18" t="s">
        <v>316</v>
      </c>
      <c r="N63" s="18" t="s">
        <v>558</v>
      </c>
      <c r="O63" s="18">
        <v>18</v>
      </c>
      <c r="P63" s="18">
        <v>0</v>
      </c>
      <c r="Q63" s="45" t="s">
        <v>369</v>
      </c>
      <c r="R63" s="18" t="s">
        <v>116</v>
      </c>
      <c r="S63" s="18" t="str">
        <f>IFERROR(VLOOKUP(Tabela1[[#This Row],[Cód. Causa]],'Base de Dados'!$O$2:$P$21,2,0),"")</f>
        <v xml:space="preserve">EQUIPAMENTO TRABALHANDO COM CARGA EXCESSIVA </v>
      </c>
      <c r="T63" s="18" t="str">
        <f>IFERROR(VLOOKUP(Tabela1[[#This Row],[Tag]],'Base de Dados'!$B$2:$C$64,2,0),"")</f>
        <v/>
      </c>
      <c r="U63" s="18" t="str">
        <f>IFERROR(VLOOKUP(Tabela1[[#This Row],[Tag]],'Base de Dados'!V63:W115,2,0),"")</f>
        <v/>
      </c>
      <c r="V63" s="18">
        <f>DAY(Tabela1[[#This Row],[Data]])</f>
        <v>8</v>
      </c>
      <c r="W63" s="18">
        <f>MONTH(Tabela1[[#This Row],[Data]])</f>
        <v>11</v>
      </c>
      <c r="X63" s="18">
        <f>YEAR(Tabela1[[#This Row],[Data]])</f>
        <v>2022</v>
      </c>
    </row>
    <row r="64" spans="1:24" hidden="1" x14ac:dyDescent="0.25">
      <c r="A64" s="22">
        <v>12919</v>
      </c>
      <c r="B64" s="21">
        <v>44873</v>
      </c>
      <c r="C64" s="23">
        <v>739</v>
      </c>
      <c r="D64" s="24">
        <v>877</v>
      </c>
      <c r="E64" s="24"/>
      <c r="F64" s="24"/>
      <c r="G64" s="18" t="str">
        <f>IFERROR(VLOOKUP(Tabela1[[#This Row],[Mat. 1]],'Base de Dados'!$I$5:$J$21,2,0),"")</f>
        <v>DANILLO</v>
      </c>
      <c r="H64" s="18" t="str">
        <f>IFERROR(VLOOKUP(Tabela1[[#This Row],[Mat. 2]],'Base de Dados'!$I$5:$J$21,2,0),"")</f>
        <v>RONALDO</v>
      </c>
      <c r="I64" s="18" t="str">
        <f>IFERROR(VLOOKUP(Tabela1[[#This Row],[Mat. 3]],'Base de Dados'!$I$5:$J$21,2,0),"")</f>
        <v/>
      </c>
      <c r="J64" s="18" t="str">
        <f>IFERROR(VLOOKUP(Tabela1[[#This Row],[Mat. 4]],'Base de Dados'!$I$5:$J$21,2,0),"")</f>
        <v/>
      </c>
      <c r="K64" s="18" t="str">
        <f>IFERROR(VLOOKUP(Tabela1[[#This Row],[Mat. 1]],'Base de Dados'!$I$2:$M$21,5,0),"")</f>
        <v>1º</v>
      </c>
      <c r="L64" s="18" t="s">
        <v>162</v>
      </c>
      <c r="M64" s="18" t="s">
        <v>316</v>
      </c>
      <c r="N64" s="18" t="s">
        <v>558</v>
      </c>
      <c r="O64" s="18">
        <v>170</v>
      </c>
      <c r="P64" s="18">
        <v>0</v>
      </c>
      <c r="Q64" s="45" t="s">
        <v>370</v>
      </c>
      <c r="R64" s="18" t="s">
        <v>116</v>
      </c>
      <c r="S64" s="18" t="str">
        <f>IFERROR(VLOOKUP(Tabela1[[#This Row],[Cód. Causa]],'Base de Dados'!$O$2:$P$21,2,0),"")</f>
        <v xml:space="preserve">EQUIPAMENTO TRABALHANDO COM CARGA EXCESSIVA </v>
      </c>
      <c r="T64" s="18" t="str">
        <f>IFERROR(VLOOKUP(Tabela1[[#This Row],[Tag]],'Base de Dados'!$B$2:$C$64,2,0),"")</f>
        <v>PRENSA MOLDAGEM HOOD</v>
      </c>
      <c r="U64" s="18" t="str">
        <f>IFERROR(VLOOKUP(Tabela1[[#This Row],[Tag]],'Base de Dados'!V64:W116,2,0),"")</f>
        <v/>
      </c>
      <c r="V64" s="18">
        <f>DAY(Tabela1[[#This Row],[Data]])</f>
        <v>8</v>
      </c>
      <c r="W64" s="18">
        <f>MONTH(Tabela1[[#This Row],[Data]])</f>
        <v>11</v>
      </c>
      <c r="X64" s="18">
        <f>YEAR(Tabela1[[#This Row],[Data]])</f>
        <v>2022</v>
      </c>
    </row>
    <row r="65" spans="1:24" hidden="1" x14ac:dyDescent="0.25">
      <c r="A65" s="22">
        <v>12920</v>
      </c>
      <c r="B65" s="21">
        <v>44873</v>
      </c>
      <c r="C65" s="23">
        <v>435</v>
      </c>
      <c r="D65" s="24"/>
      <c r="E65" s="24"/>
      <c r="F65" s="24"/>
      <c r="G65" s="18" t="str">
        <f>IFERROR(VLOOKUP(Tabela1[[#This Row],[Mat. 1]],'Base de Dados'!$I$5:$J$21,2,0),"")</f>
        <v>SILVIO</v>
      </c>
      <c r="H65" s="18" t="str">
        <f>IFERROR(VLOOKUP(Tabela1[[#This Row],[Mat. 2]],'Base de Dados'!$I$5:$J$21,2,0),"")</f>
        <v/>
      </c>
      <c r="I65" s="18" t="str">
        <f>IFERROR(VLOOKUP(Tabela1[[#This Row],[Mat. 3]],'Base de Dados'!$I$5:$J$21,2,0),"")</f>
        <v/>
      </c>
      <c r="J65" s="18" t="str">
        <f>IFERROR(VLOOKUP(Tabela1[[#This Row],[Mat. 4]],'Base de Dados'!$I$5:$J$21,2,0),"")</f>
        <v/>
      </c>
      <c r="K65" s="18" t="str">
        <f>IFERROR(VLOOKUP(Tabela1[[#This Row],[Mat. 1]],'Base de Dados'!$I$2:$M$21,5,0),"")</f>
        <v>1º</v>
      </c>
      <c r="L65" s="18" t="s">
        <v>368</v>
      </c>
      <c r="M65" s="18" t="s">
        <v>313</v>
      </c>
      <c r="N65" s="18" t="s">
        <v>558</v>
      </c>
      <c r="O65" s="18">
        <v>25</v>
      </c>
      <c r="P65" s="18">
        <v>0</v>
      </c>
      <c r="Q65" s="45" t="s">
        <v>371</v>
      </c>
      <c r="R65" s="18" t="s">
        <v>34</v>
      </c>
      <c r="S65" s="18" t="str">
        <f>IFERROR(VLOOKUP(Tabela1[[#This Row],[Cód. Causa]],'Base de Dados'!$O$2:$P$21,2,0),"")</f>
        <v>FALHA EM COMPONENTES ELETRONICO</v>
      </c>
      <c r="T65" s="18" t="str">
        <f>IFERROR(VLOOKUP(Tabela1[[#This Row],[Tag]],'Base de Dados'!$B$2:$C$64,2,0),"")</f>
        <v/>
      </c>
      <c r="U65" s="18" t="str">
        <f>IFERROR(VLOOKUP(Tabela1[[#This Row],[Tag]],'Base de Dados'!V65:W117,2,0),"")</f>
        <v/>
      </c>
      <c r="V65" s="18">
        <f>DAY(Tabela1[[#This Row],[Data]])</f>
        <v>8</v>
      </c>
      <c r="W65" s="18">
        <f>MONTH(Tabela1[[#This Row],[Data]])</f>
        <v>11</v>
      </c>
      <c r="X65" s="18">
        <f>YEAR(Tabela1[[#This Row],[Data]])</f>
        <v>2022</v>
      </c>
    </row>
    <row r="66" spans="1:24" hidden="1" x14ac:dyDescent="0.25">
      <c r="A66" s="22">
        <v>12922</v>
      </c>
      <c r="B66" s="21">
        <v>44873</v>
      </c>
      <c r="C66" s="23">
        <v>739</v>
      </c>
      <c r="D66" s="24"/>
      <c r="E66" s="24"/>
      <c r="F66" s="24"/>
      <c r="G66" s="18" t="str">
        <f>IFERROR(VLOOKUP(Tabela1[[#This Row],[Mat. 1]],'Base de Dados'!$I$5:$J$21,2,0),"")</f>
        <v>DANILLO</v>
      </c>
      <c r="H66" s="18" t="str">
        <f>IFERROR(VLOOKUP(Tabela1[[#This Row],[Mat. 2]],'Base de Dados'!$I$5:$J$21,2,0),"")</f>
        <v/>
      </c>
      <c r="I66" s="18" t="str">
        <f>IFERROR(VLOOKUP(Tabela1[[#This Row],[Mat. 3]],'Base de Dados'!$I$5:$J$21,2,0),"")</f>
        <v/>
      </c>
      <c r="J66" s="18" t="str">
        <f>IFERROR(VLOOKUP(Tabela1[[#This Row],[Mat. 4]],'Base de Dados'!$I$5:$J$21,2,0),"")</f>
        <v/>
      </c>
      <c r="K66" s="18" t="str">
        <f>IFERROR(VLOOKUP(Tabela1[[#This Row],[Mat. 1]],'Base de Dados'!$I$2:$M$21,5,0),"")</f>
        <v>1º</v>
      </c>
      <c r="L66" s="18" t="s">
        <v>79</v>
      </c>
      <c r="M66" s="18" t="s">
        <v>316</v>
      </c>
      <c r="N66" s="18" t="s">
        <v>558</v>
      </c>
      <c r="O66" s="18">
        <v>40</v>
      </c>
      <c r="P66" s="18">
        <v>0</v>
      </c>
      <c r="Q66" s="45" t="s">
        <v>373</v>
      </c>
      <c r="R66" s="18" t="s">
        <v>372</v>
      </c>
      <c r="S66" s="18" t="str">
        <f>IFERROR(VLOOKUP(Tabela1[[#This Row],[Cód. Causa]],'Base de Dados'!$O$2:$P$21,2,0),"")</f>
        <v xml:space="preserve">EQUIPAMENTO TRABALHANDO COM CARGA EXCESSIVA </v>
      </c>
      <c r="T66" s="18" t="str">
        <f>IFERROR(VLOOKUP(Tabela1[[#This Row],[Tag]],'Base de Dados'!$B$2:$C$64,2,0),"")</f>
        <v>PRENSA COM INJEÇÃO PU INNER 03</v>
      </c>
      <c r="U66" s="18" t="str">
        <f>IFERROR(VLOOKUP(Tabela1[[#This Row],[Tag]],'Base de Dados'!V66:W118,2,0),"")</f>
        <v/>
      </c>
      <c r="V66" s="18">
        <f>DAY(Tabela1[[#This Row],[Data]])</f>
        <v>8</v>
      </c>
      <c r="W66" s="18">
        <f>MONTH(Tabela1[[#This Row],[Data]])</f>
        <v>11</v>
      </c>
      <c r="X66" s="18">
        <f>YEAR(Tabela1[[#This Row],[Data]])</f>
        <v>2022</v>
      </c>
    </row>
    <row r="67" spans="1:24" hidden="1" x14ac:dyDescent="0.25">
      <c r="A67" s="22">
        <v>12960</v>
      </c>
      <c r="B67" s="21">
        <v>44873</v>
      </c>
      <c r="C67" s="23">
        <v>782</v>
      </c>
      <c r="D67" s="24"/>
      <c r="E67" s="24"/>
      <c r="F67" s="24"/>
      <c r="G67" s="18" t="str">
        <f>IFERROR(VLOOKUP(Tabela1[[#This Row],[Mat. 1]],'Base de Dados'!$I$5:$J$21,2,0),"")</f>
        <v>JOSÉ</v>
      </c>
      <c r="H67" s="18" t="str">
        <f>IFERROR(VLOOKUP(Tabela1[[#This Row],[Mat. 2]],'Base de Dados'!$I$5:$J$21,2,0),"")</f>
        <v/>
      </c>
      <c r="I67" s="18" t="str">
        <f>IFERROR(VLOOKUP(Tabela1[[#This Row],[Mat. 3]],'Base de Dados'!$I$5:$J$21,2,0),"")</f>
        <v/>
      </c>
      <c r="J67" s="18" t="str">
        <f>IFERROR(VLOOKUP(Tabela1[[#This Row],[Mat. 4]],'Base de Dados'!$I$5:$J$21,2,0),"")</f>
        <v/>
      </c>
      <c r="K67" s="18" t="str">
        <f>IFERROR(VLOOKUP(Tabela1[[#This Row],[Mat. 1]],'Base de Dados'!$I$2:$M$21,5,0),"")</f>
        <v>3º</v>
      </c>
      <c r="L67" s="18" t="s">
        <v>158</v>
      </c>
      <c r="M67" s="18" t="s">
        <v>313</v>
      </c>
      <c r="N67" s="18" t="s">
        <v>558</v>
      </c>
      <c r="O67" s="18">
        <v>90</v>
      </c>
      <c r="P67" s="18">
        <v>0</v>
      </c>
      <c r="Q67" s="45" t="s">
        <v>374</v>
      </c>
      <c r="R67" s="18" t="s">
        <v>34</v>
      </c>
      <c r="S67" s="18" t="str">
        <f>IFERROR(VLOOKUP(Tabela1[[#This Row],[Cód. Causa]],'Base de Dados'!$O$2:$P$21,2,0),"")</f>
        <v>FALHA EM COMPONENTES ELETRONICO</v>
      </c>
      <c r="T67" s="18" t="str">
        <f>IFERROR(VLOOKUP(Tabela1[[#This Row],[Tag]],'Base de Dados'!$B$2:$C$64,2,0),"")</f>
        <v>PRENSA TERMOFORMAGEM</v>
      </c>
      <c r="U67" s="18" t="str">
        <f>IFERROR(VLOOKUP(Tabela1[[#This Row],[Tag]],'Base de Dados'!V67:W119,2,0),"")</f>
        <v/>
      </c>
      <c r="V67" s="18">
        <f>DAY(Tabela1[[#This Row],[Data]])</f>
        <v>8</v>
      </c>
      <c r="W67" s="18">
        <f>MONTH(Tabela1[[#This Row],[Data]])</f>
        <v>11</v>
      </c>
      <c r="X67" s="18">
        <f>YEAR(Tabela1[[#This Row],[Data]])</f>
        <v>2022</v>
      </c>
    </row>
    <row r="68" spans="1:24" hidden="1" x14ac:dyDescent="0.25">
      <c r="A68" s="22">
        <v>12961</v>
      </c>
      <c r="B68" s="21">
        <v>44873</v>
      </c>
      <c r="C68" s="23">
        <v>739</v>
      </c>
      <c r="D68" s="24"/>
      <c r="E68" s="24"/>
      <c r="F68" s="24"/>
      <c r="G68" s="18" t="str">
        <f>IFERROR(VLOOKUP(Tabela1[[#This Row],[Mat. 1]],'Base de Dados'!$I$5:$J$21,2,0),"")</f>
        <v>DANILLO</v>
      </c>
      <c r="H68" s="18" t="str">
        <f>IFERROR(VLOOKUP(Tabela1[[#This Row],[Mat. 2]],'Base de Dados'!$I$5:$J$21,2,0),"")</f>
        <v/>
      </c>
      <c r="I68" s="18" t="str">
        <f>IFERROR(VLOOKUP(Tabela1[[#This Row],[Mat. 3]],'Base de Dados'!$I$5:$J$21,2,0),"")</f>
        <v/>
      </c>
      <c r="J68" s="18" t="str">
        <f>IFERROR(VLOOKUP(Tabela1[[#This Row],[Mat. 4]],'Base de Dados'!$I$5:$J$21,2,0),"")</f>
        <v/>
      </c>
      <c r="K68" s="18" t="str">
        <f>IFERROR(VLOOKUP(Tabela1[[#This Row],[Mat. 1]],'Base de Dados'!$I$2:$M$21,5,0),"")</f>
        <v>1º</v>
      </c>
      <c r="L68" s="18" t="s">
        <v>183</v>
      </c>
      <c r="M68" s="18" t="s">
        <v>313</v>
      </c>
      <c r="N68" s="18" t="s">
        <v>558</v>
      </c>
      <c r="O68" s="18">
        <v>0</v>
      </c>
      <c r="P68" s="18">
        <v>10</v>
      </c>
      <c r="Q68" s="45" t="s">
        <v>375</v>
      </c>
      <c r="R68" s="18" t="s">
        <v>34</v>
      </c>
      <c r="S68" s="18" t="str">
        <f>IFERROR(VLOOKUP(Tabela1[[#This Row],[Cód. Causa]],'Base de Dados'!$O$2:$P$21,2,0),"")</f>
        <v>FALHA EM COMPONENTES ELETRONICO</v>
      </c>
      <c r="T68" s="18" t="str">
        <f>IFERROR(VLOOKUP(Tabela1[[#This Row],[Tag]],'Base de Dados'!$B$2:$C$64,2,0),"")</f>
        <v>INJETORA CARPETE</v>
      </c>
      <c r="U68" s="18" t="str">
        <f>IFERROR(VLOOKUP(Tabela1[[#This Row],[Tag]],'Base de Dados'!V68:W120,2,0),"")</f>
        <v/>
      </c>
      <c r="V68" s="18">
        <f>DAY(Tabela1[[#This Row],[Data]])</f>
        <v>8</v>
      </c>
      <c r="W68" s="18">
        <f>MONTH(Tabela1[[#This Row],[Data]])</f>
        <v>11</v>
      </c>
      <c r="X68" s="18">
        <f>YEAR(Tabela1[[#This Row],[Data]])</f>
        <v>2022</v>
      </c>
    </row>
    <row r="69" spans="1:24" hidden="1" x14ac:dyDescent="0.25">
      <c r="A69" s="22">
        <v>12962</v>
      </c>
      <c r="B69" s="21">
        <v>44873</v>
      </c>
      <c r="C69" s="23">
        <v>15</v>
      </c>
      <c r="D69" s="24"/>
      <c r="E69" s="24"/>
      <c r="F69" s="24"/>
      <c r="G69" s="18" t="str">
        <f>IFERROR(VLOOKUP(Tabela1[[#This Row],[Mat. 1]],'Base de Dados'!$I$5:$J$21,2,0),"")</f>
        <v>ROBERT</v>
      </c>
      <c r="H69" s="18" t="str">
        <f>IFERROR(VLOOKUP(Tabela1[[#This Row],[Mat. 2]],'Base de Dados'!$I$5:$J$21,2,0),"")</f>
        <v/>
      </c>
      <c r="I69" s="18" t="str">
        <f>IFERROR(VLOOKUP(Tabela1[[#This Row],[Mat. 3]],'Base de Dados'!$I$5:$J$21,2,0),"")</f>
        <v/>
      </c>
      <c r="J69" s="18" t="str">
        <f>IFERROR(VLOOKUP(Tabela1[[#This Row],[Mat. 4]],'Base de Dados'!$I$5:$J$21,2,0),"")</f>
        <v/>
      </c>
      <c r="K69" s="18" t="str">
        <f>IFERROR(VLOOKUP(Tabela1[[#This Row],[Mat. 1]],'Base de Dados'!$I$2:$M$21,5,0),"")</f>
        <v>1º</v>
      </c>
      <c r="L69" s="18" t="s">
        <v>185</v>
      </c>
      <c r="M69" s="18" t="s">
        <v>316</v>
      </c>
      <c r="N69" s="18" t="s">
        <v>558</v>
      </c>
      <c r="O69" s="18">
        <v>50</v>
      </c>
      <c r="P69" s="18">
        <v>0</v>
      </c>
      <c r="Q69" s="45" t="s">
        <v>259</v>
      </c>
      <c r="R69" s="18" t="s">
        <v>116</v>
      </c>
      <c r="S69" s="18" t="str">
        <f>IFERROR(VLOOKUP(Tabela1[[#This Row],[Cód. Causa]],'Base de Dados'!$O$2:$P$21,2,0),"")</f>
        <v xml:space="preserve">EQUIPAMENTO TRABALHANDO COM CARGA EXCESSIVA </v>
      </c>
      <c r="T69" s="18" t="str">
        <f>IFERROR(VLOOKUP(Tabela1[[#This Row],[Tag]],'Base de Dados'!$B$2:$C$64,2,0),"")</f>
        <v>CORTE DO CARPETE- WATER JET</v>
      </c>
      <c r="U69" s="18" t="str">
        <f>IFERROR(VLOOKUP(Tabela1[[#This Row],[Tag]],'Base de Dados'!V69:W121,2,0),"")</f>
        <v/>
      </c>
      <c r="V69" s="18">
        <f>DAY(Tabela1[[#This Row],[Data]])</f>
        <v>8</v>
      </c>
      <c r="W69" s="18">
        <f>MONTH(Tabela1[[#This Row],[Data]])</f>
        <v>11</v>
      </c>
      <c r="X69" s="18">
        <f>YEAR(Tabela1[[#This Row],[Data]])</f>
        <v>2022</v>
      </c>
    </row>
    <row r="70" spans="1:24" hidden="1" x14ac:dyDescent="0.25">
      <c r="A70" s="22">
        <v>12963</v>
      </c>
      <c r="B70" s="21">
        <v>44873</v>
      </c>
      <c r="C70" s="23">
        <v>15</v>
      </c>
      <c r="D70" s="24"/>
      <c r="E70" s="24"/>
      <c r="F70" s="24"/>
      <c r="G70" s="18" t="str">
        <f>IFERROR(VLOOKUP(Tabela1[[#This Row],[Mat. 1]],'Base de Dados'!$I$5:$J$21,2,0),"")</f>
        <v>ROBERT</v>
      </c>
      <c r="H70" s="18" t="str">
        <f>IFERROR(VLOOKUP(Tabela1[[#This Row],[Mat. 2]],'Base de Dados'!$I$5:$J$21,2,0),"")</f>
        <v/>
      </c>
      <c r="I70" s="18" t="str">
        <f>IFERROR(VLOOKUP(Tabela1[[#This Row],[Mat. 3]],'Base de Dados'!$I$5:$J$21,2,0),"")</f>
        <v/>
      </c>
      <c r="J70" s="18" t="str">
        <f>IFERROR(VLOOKUP(Tabela1[[#This Row],[Mat. 4]],'Base de Dados'!$I$5:$J$21,2,0),"")</f>
        <v/>
      </c>
      <c r="K70" s="18" t="str">
        <f>IFERROR(VLOOKUP(Tabela1[[#This Row],[Mat. 1]],'Base de Dados'!$I$2:$M$21,5,0),"")</f>
        <v>1º</v>
      </c>
      <c r="L70" s="18" t="s">
        <v>185</v>
      </c>
      <c r="M70" s="18" t="s">
        <v>316</v>
      </c>
      <c r="N70" s="18" t="s">
        <v>558</v>
      </c>
      <c r="O70" s="18">
        <v>82</v>
      </c>
      <c r="P70" s="18">
        <v>0</v>
      </c>
      <c r="Q70" s="45" t="s">
        <v>376</v>
      </c>
      <c r="R70" s="18" t="s">
        <v>116</v>
      </c>
      <c r="S70" s="18" t="str">
        <f>IFERROR(VLOOKUP(Tabela1[[#This Row],[Cód. Causa]],'Base de Dados'!$O$2:$P$21,2,0),"")</f>
        <v xml:space="preserve">EQUIPAMENTO TRABALHANDO COM CARGA EXCESSIVA </v>
      </c>
      <c r="T70" s="18" t="str">
        <f>IFERROR(VLOOKUP(Tabela1[[#This Row],[Tag]],'Base de Dados'!$B$2:$C$64,2,0),"")</f>
        <v>CORTE DO CARPETE- WATER JET</v>
      </c>
      <c r="U70" s="18" t="str">
        <f>IFERROR(VLOOKUP(Tabela1[[#This Row],[Tag]],'Base de Dados'!V70:W122,2,0),"")</f>
        <v/>
      </c>
      <c r="V70" s="18">
        <f>DAY(Tabela1[[#This Row],[Data]])</f>
        <v>8</v>
      </c>
      <c r="W70" s="18">
        <f>MONTH(Tabela1[[#This Row],[Data]])</f>
        <v>11</v>
      </c>
      <c r="X70" s="18">
        <f>YEAR(Tabela1[[#This Row],[Data]])</f>
        <v>2022</v>
      </c>
    </row>
    <row r="71" spans="1:24" hidden="1" x14ac:dyDescent="0.25">
      <c r="A71" s="22">
        <v>14001</v>
      </c>
      <c r="B71" s="21">
        <v>44873</v>
      </c>
      <c r="C71" s="23">
        <v>677</v>
      </c>
      <c r="D71" s="24"/>
      <c r="E71" s="24"/>
      <c r="F71" s="24"/>
      <c r="G71" s="18" t="str">
        <f>IFERROR(VLOOKUP(Tabela1[[#This Row],[Mat. 1]],'Base de Dados'!$I$5:$J$21,2,0),"")</f>
        <v>RAFAEL</v>
      </c>
      <c r="H71" s="18" t="str">
        <f>IFERROR(VLOOKUP(Tabela1[[#This Row],[Mat. 2]],'Base de Dados'!$I$5:$J$21,2,0),"")</f>
        <v/>
      </c>
      <c r="I71" s="18" t="str">
        <f>IFERROR(VLOOKUP(Tabela1[[#This Row],[Mat. 3]],'Base de Dados'!$I$5:$J$21,2,0),"")</f>
        <v/>
      </c>
      <c r="J71" s="18" t="str">
        <f>IFERROR(VLOOKUP(Tabela1[[#This Row],[Mat. 4]],'Base de Dados'!$I$5:$J$21,2,0),"")</f>
        <v/>
      </c>
      <c r="K71" s="18" t="str">
        <f>IFERROR(VLOOKUP(Tabela1[[#This Row],[Mat. 1]],'Base de Dados'!$I$2:$M$21,5,0),"")</f>
        <v>2º</v>
      </c>
      <c r="L71" s="18" t="s">
        <v>183</v>
      </c>
      <c r="M71" s="18" t="s">
        <v>316</v>
      </c>
      <c r="N71" s="18" t="s">
        <v>558</v>
      </c>
      <c r="O71" s="18">
        <v>57</v>
      </c>
      <c r="P71" s="18">
        <v>0</v>
      </c>
      <c r="Q71" s="45" t="s">
        <v>377</v>
      </c>
      <c r="R71" s="18" t="s">
        <v>116</v>
      </c>
      <c r="S71" s="18" t="str">
        <f>IFERROR(VLOOKUP(Tabela1[[#This Row],[Cód. Causa]],'Base de Dados'!$O$2:$P$21,2,0),"")</f>
        <v xml:space="preserve">EQUIPAMENTO TRABALHANDO COM CARGA EXCESSIVA </v>
      </c>
      <c r="T71" s="18" t="str">
        <f>IFERROR(VLOOKUP(Tabela1[[#This Row],[Tag]],'Base de Dados'!$B$2:$C$64,2,0),"")</f>
        <v>INJETORA CARPETE</v>
      </c>
      <c r="U71" s="18" t="str">
        <f>IFERROR(VLOOKUP(Tabela1[[#This Row],[Tag]],'Base de Dados'!V71:W123,2,0),"")</f>
        <v/>
      </c>
      <c r="V71" s="18">
        <f>DAY(Tabela1[[#This Row],[Data]])</f>
        <v>8</v>
      </c>
      <c r="W71" s="18">
        <f>MONTH(Tabela1[[#This Row],[Data]])</f>
        <v>11</v>
      </c>
      <c r="X71" s="18">
        <f>YEAR(Tabela1[[#This Row],[Data]])</f>
        <v>2022</v>
      </c>
    </row>
    <row r="72" spans="1:24" hidden="1" x14ac:dyDescent="0.25">
      <c r="A72" s="22">
        <v>12965</v>
      </c>
      <c r="B72" s="21">
        <v>44874</v>
      </c>
      <c r="C72" s="23">
        <v>73</v>
      </c>
      <c r="D72" s="24">
        <v>444</v>
      </c>
      <c r="E72" s="24">
        <v>782</v>
      </c>
      <c r="F72" s="24"/>
      <c r="G72" s="18" t="str">
        <f>IFERROR(VLOOKUP(Tabela1[[#This Row],[Mat. 1]],'Base de Dados'!$I$5:$J$21,2,0),"")</f>
        <v>VALDEMAR</v>
      </c>
      <c r="H72" s="18" t="str">
        <f>IFERROR(VLOOKUP(Tabela1[[#This Row],[Mat. 2]],'Base de Dados'!$I$5:$J$21,2,0),"")</f>
        <v>EDUARDO</v>
      </c>
      <c r="I72" s="18" t="str">
        <f>IFERROR(VLOOKUP(Tabela1[[#This Row],[Mat. 3]],'Base de Dados'!$I$5:$J$21,2,0),"")</f>
        <v>JOSÉ</v>
      </c>
      <c r="J72" s="18" t="str">
        <f>IFERROR(VLOOKUP(Tabela1[[#This Row],[Mat. 4]],'Base de Dados'!$I$5:$J$21,2,0),"")</f>
        <v/>
      </c>
      <c r="K72" s="18" t="str">
        <f>IFERROR(VLOOKUP(Tabela1[[#This Row],[Mat. 1]],'Base de Dados'!$I$2:$M$21,5,0),"")</f>
        <v>3º</v>
      </c>
      <c r="L72" s="18" t="s">
        <v>124</v>
      </c>
      <c r="M72" s="18" t="s">
        <v>316</v>
      </c>
      <c r="N72" s="18" t="s">
        <v>558</v>
      </c>
      <c r="O72" s="18">
        <v>80</v>
      </c>
      <c r="P72" s="18">
        <v>0</v>
      </c>
      <c r="Q72" s="45" t="s">
        <v>378</v>
      </c>
      <c r="R72" s="18" t="s">
        <v>116</v>
      </c>
      <c r="S72" s="18" t="str">
        <f>IFERROR(VLOOKUP(Tabela1[[#This Row],[Cód. Causa]],'Base de Dados'!$O$2:$P$21,2,0),"")</f>
        <v xml:space="preserve">EQUIPAMENTO TRABALHANDO COM CARGA EXCESSIVA </v>
      </c>
      <c r="T72" s="18" t="str">
        <f>IFERROR(VLOOKUP(Tabela1[[#This Row],[Tag]],'Base de Dados'!$B$2:$C$64,2,0),"")</f>
        <v>PRENSA ACOPL. TECIDO DO TETO 1</v>
      </c>
      <c r="U72" s="18" t="str">
        <f>IFERROR(VLOOKUP(Tabela1[[#This Row],[Tag]],'Base de Dados'!V72:W124,2,0),"")</f>
        <v/>
      </c>
      <c r="V72" s="18">
        <f>DAY(Tabela1[[#This Row],[Data]])</f>
        <v>9</v>
      </c>
      <c r="W72" s="18">
        <f>MONTH(Tabela1[[#This Row],[Data]])</f>
        <v>11</v>
      </c>
      <c r="X72" s="18">
        <f>YEAR(Tabela1[[#This Row],[Data]])</f>
        <v>2022</v>
      </c>
    </row>
    <row r="73" spans="1:24" hidden="1" x14ac:dyDescent="0.25">
      <c r="A73" s="22">
        <v>12966</v>
      </c>
      <c r="B73" s="21">
        <v>44874</v>
      </c>
      <c r="C73" s="23">
        <v>73</v>
      </c>
      <c r="D73" s="24">
        <v>444</v>
      </c>
      <c r="E73" s="24">
        <v>782</v>
      </c>
      <c r="F73" s="24"/>
      <c r="G73" s="18" t="str">
        <f>IFERROR(VLOOKUP(Tabela1[[#This Row],[Mat. 1]],'Base de Dados'!$I$5:$J$21,2,0),"")</f>
        <v>VALDEMAR</v>
      </c>
      <c r="H73" s="18" t="str">
        <f>IFERROR(VLOOKUP(Tabela1[[#This Row],[Mat. 2]],'Base de Dados'!$I$5:$J$21,2,0),"")</f>
        <v>EDUARDO</v>
      </c>
      <c r="I73" s="18" t="str">
        <f>IFERROR(VLOOKUP(Tabela1[[#This Row],[Mat. 3]],'Base de Dados'!$I$5:$J$21,2,0),"")</f>
        <v>JOSÉ</v>
      </c>
      <c r="J73" s="18" t="str">
        <f>IFERROR(VLOOKUP(Tabela1[[#This Row],[Mat. 4]],'Base de Dados'!$I$5:$J$21,2,0),"")</f>
        <v/>
      </c>
      <c r="K73" s="18" t="str">
        <f>IFERROR(VLOOKUP(Tabela1[[#This Row],[Mat. 1]],'Base de Dados'!$I$2:$M$21,5,0),"")</f>
        <v>3º</v>
      </c>
      <c r="L73" s="18" t="s">
        <v>141</v>
      </c>
      <c r="M73" s="18" t="s">
        <v>316</v>
      </c>
      <c r="N73" s="18" t="s">
        <v>558</v>
      </c>
      <c r="O73" s="18">
        <v>20</v>
      </c>
      <c r="P73" s="18">
        <v>0</v>
      </c>
      <c r="Q73" s="45" t="s">
        <v>379</v>
      </c>
      <c r="R73" s="18" t="s">
        <v>116</v>
      </c>
      <c r="S73" s="18" t="str">
        <f>IFERROR(VLOOKUP(Tabela1[[#This Row],[Cód. Causa]],'Base de Dados'!$O$2:$P$21,2,0),"")</f>
        <v xml:space="preserve">EQUIPAMENTO TRABALHANDO COM CARGA EXCESSIVA </v>
      </c>
      <c r="T73" s="18" t="str">
        <f>IFERROR(VLOOKUP(Tabela1[[#This Row],[Tag]],'Base de Dados'!$B$2:$C$64,2,0),"")</f>
        <v>CORTE DO TETO  - WATER JET 2</v>
      </c>
      <c r="U73" s="18" t="str">
        <f>IFERROR(VLOOKUP(Tabela1[[#This Row],[Tag]],'Base de Dados'!V73:W125,2,0),"")</f>
        <v/>
      </c>
      <c r="V73" s="18">
        <f>DAY(Tabela1[[#This Row],[Data]])</f>
        <v>9</v>
      </c>
      <c r="W73" s="18">
        <f>MONTH(Tabela1[[#This Row],[Data]])</f>
        <v>11</v>
      </c>
      <c r="X73" s="18">
        <f>YEAR(Tabela1[[#This Row],[Data]])</f>
        <v>2022</v>
      </c>
    </row>
    <row r="74" spans="1:24" hidden="1" x14ac:dyDescent="0.25">
      <c r="A74" s="22">
        <v>12967</v>
      </c>
      <c r="B74" s="21">
        <v>44874</v>
      </c>
      <c r="C74" s="23">
        <v>739</v>
      </c>
      <c r="D74" s="24"/>
      <c r="E74" s="24"/>
      <c r="F74" s="24"/>
      <c r="G74" s="18" t="str">
        <f>IFERROR(VLOOKUP(Tabela1[[#This Row],[Mat. 1]],'Base de Dados'!$I$5:$J$21,2,0),"")</f>
        <v>DANILLO</v>
      </c>
      <c r="H74" s="18" t="str">
        <f>IFERROR(VLOOKUP(Tabela1[[#This Row],[Mat. 2]],'Base de Dados'!$I$5:$J$21,2,0),"")</f>
        <v/>
      </c>
      <c r="I74" s="18" t="str">
        <f>IFERROR(VLOOKUP(Tabela1[[#This Row],[Mat. 3]],'Base de Dados'!$I$5:$J$21,2,0),"")</f>
        <v/>
      </c>
      <c r="J74" s="18" t="str">
        <f>IFERROR(VLOOKUP(Tabela1[[#This Row],[Mat. 4]],'Base de Dados'!$I$5:$J$21,2,0),"")</f>
        <v/>
      </c>
      <c r="K74" s="18" t="str">
        <f>IFERROR(VLOOKUP(Tabela1[[#This Row],[Mat. 1]],'Base de Dados'!$I$2:$M$21,5,0),"")</f>
        <v>1º</v>
      </c>
      <c r="L74" s="18" t="s">
        <v>175</v>
      </c>
      <c r="M74" s="18" t="s">
        <v>316</v>
      </c>
      <c r="N74" s="18" t="s">
        <v>558</v>
      </c>
      <c r="O74" s="18">
        <v>20</v>
      </c>
      <c r="P74" s="18">
        <v>0</v>
      </c>
      <c r="Q74" s="45" t="s">
        <v>380</v>
      </c>
      <c r="R74" s="18" t="s">
        <v>116</v>
      </c>
      <c r="S74" s="18" t="str">
        <f>IFERROR(VLOOKUP(Tabela1[[#This Row],[Cód. Causa]],'Base de Dados'!$O$2:$P$21,2,0),"")</f>
        <v xml:space="preserve">EQUIPAMENTO TRABALHANDO COM CARGA EXCESSIVA </v>
      </c>
      <c r="T74" s="18" t="str">
        <f>IFERROR(VLOOKUP(Tabela1[[#This Row],[Tag]],'Base de Dados'!$B$2:$C$64,2,0),"")</f>
        <v>PRENSA SOLDA BATE PÉ</v>
      </c>
      <c r="U74" s="18" t="str">
        <f>IFERROR(VLOOKUP(Tabela1[[#This Row],[Tag]],'Base de Dados'!V74:W126,2,0),"")</f>
        <v/>
      </c>
      <c r="V74" s="18">
        <f>DAY(Tabela1[[#This Row],[Data]])</f>
        <v>9</v>
      </c>
      <c r="W74" s="18">
        <f>MONTH(Tabela1[[#This Row],[Data]])</f>
        <v>11</v>
      </c>
      <c r="X74" s="18">
        <f>YEAR(Tabela1[[#This Row],[Data]])</f>
        <v>2022</v>
      </c>
    </row>
    <row r="75" spans="1:24" hidden="1" x14ac:dyDescent="0.25">
      <c r="A75" s="22">
        <v>12968</v>
      </c>
      <c r="B75" s="21">
        <v>44874</v>
      </c>
      <c r="C75" s="23">
        <v>15</v>
      </c>
      <c r="D75" s="24"/>
      <c r="E75" s="24"/>
      <c r="F75" s="24"/>
      <c r="G75" s="18" t="str">
        <f>IFERROR(VLOOKUP(Tabela1[[#This Row],[Mat. 1]],'Base de Dados'!$I$5:$J$21,2,0),"")</f>
        <v>ROBERT</v>
      </c>
      <c r="H75" s="18" t="str">
        <f>IFERROR(VLOOKUP(Tabela1[[#This Row],[Mat. 2]],'Base de Dados'!$I$5:$J$21,2,0),"")</f>
        <v/>
      </c>
      <c r="I75" s="18" t="str">
        <f>IFERROR(VLOOKUP(Tabela1[[#This Row],[Mat. 3]],'Base de Dados'!$I$5:$J$21,2,0),"")</f>
        <v/>
      </c>
      <c r="J75" s="18" t="str">
        <f>IFERROR(VLOOKUP(Tabela1[[#This Row],[Mat. 4]],'Base de Dados'!$I$5:$J$21,2,0),"")</f>
        <v/>
      </c>
      <c r="K75" s="18" t="str">
        <f>IFERROR(VLOOKUP(Tabela1[[#This Row],[Mat. 1]],'Base de Dados'!$I$2:$M$21,5,0),"")</f>
        <v>1º</v>
      </c>
      <c r="L75" s="18" t="s">
        <v>185</v>
      </c>
      <c r="M75" s="18" t="s">
        <v>316</v>
      </c>
      <c r="N75" s="18" t="s">
        <v>558</v>
      </c>
      <c r="O75" s="18">
        <v>20</v>
      </c>
      <c r="P75" s="18">
        <v>0</v>
      </c>
      <c r="Q75" s="45" t="s">
        <v>381</v>
      </c>
      <c r="R75" s="18" t="s">
        <v>116</v>
      </c>
      <c r="S75" s="18" t="str">
        <f>IFERROR(VLOOKUP(Tabela1[[#This Row],[Cód. Causa]],'Base de Dados'!$O$2:$P$21,2,0),"")</f>
        <v xml:space="preserve">EQUIPAMENTO TRABALHANDO COM CARGA EXCESSIVA </v>
      </c>
      <c r="T75" s="18" t="str">
        <f>IFERROR(VLOOKUP(Tabela1[[#This Row],[Tag]],'Base de Dados'!$B$2:$C$64,2,0),"")</f>
        <v>CORTE DO CARPETE- WATER JET</v>
      </c>
      <c r="U75" s="18" t="str">
        <f>IFERROR(VLOOKUP(Tabela1[[#This Row],[Tag]],'Base de Dados'!V75:W127,2,0),"")</f>
        <v/>
      </c>
      <c r="V75" s="18">
        <f>DAY(Tabela1[[#This Row],[Data]])</f>
        <v>9</v>
      </c>
      <c r="W75" s="18">
        <f>MONTH(Tabela1[[#This Row],[Data]])</f>
        <v>11</v>
      </c>
      <c r="X75" s="18">
        <f>YEAR(Tabela1[[#This Row],[Data]])</f>
        <v>2022</v>
      </c>
    </row>
    <row r="76" spans="1:24" hidden="1" x14ac:dyDescent="0.25">
      <c r="A76" s="22">
        <v>12968</v>
      </c>
      <c r="B76" s="21">
        <v>44874</v>
      </c>
      <c r="C76" s="23">
        <v>721</v>
      </c>
      <c r="D76" s="24"/>
      <c r="E76" s="24"/>
      <c r="F76" s="24"/>
      <c r="G76" s="18" t="str">
        <f>IFERROR(VLOOKUP(Tabela1[[#This Row],[Mat. 1]],'Base de Dados'!$I$5:$J$21,2,0),"")</f>
        <v>GENILSON</v>
      </c>
      <c r="H76" s="18" t="str">
        <f>IFERROR(VLOOKUP(Tabela1[[#This Row],[Mat. 2]],'Base de Dados'!$I$5:$J$21,2,0),"")</f>
        <v/>
      </c>
      <c r="I76" s="18" t="str">
        <f>IFERROR(VLOOKUP(Tabela1[[#This Row],[Mat. 3]],'Base de Dados'!$I$5:$J$21,2,0),"")</f>
        <v/>
      </c>
      <c r="J76" s="18" t="str">
        <f>IFERROR(VLOOKUP(Tabela1[[#This Row],[Mat. 4]],'Base de Dados'!$I$5:$J$21,2,0),"")</f>
        <v/>
      </c>
      <c r="K76" s="18" t="str">
        <f>IFERROR(VLOOKUP(Tabela1[[#This Row],[Mat. 1]],'Base de Dados'!$I$2:$M$21,5,0),"")</f>
        <v>1º</v>
      </c>
      <c r="L76" s="18" t="s">
        <v>185</v>
      </c>
      <c r="M76" s="18" t="s">
        <v>316</v>
      </c>
      <c r="N76" s="18" t="s">
        <v>558</v>
      </c>
      <c r="O76" s="18">
        <v>20</v>
      </c>
      <c r="P76" s="18">
        <v>0</v>
      </c>
      <c r="Q76" s="45" t="s">
        <v>382</v>
      </c>
      <c r="R76" s="18" t="s">
        <v>116</v>
      </c>
      <c r="S76" s="18" t="str">
        <f>IFERROR(VLOOKUP(Tabela1[[#This Row],[Cód. Causa]],'Base de Dados'!$O$2:$P$21,2,0),"")</f>
        <v xml:space="preserve">EQUIPAMENTO TRABALHANDO COM CARGA EXCESSIVA </v>
      </c>
      <c r="T76" s="18" t="str">
        <f>IFERROR(VLOOKUP(Tabela1[[#This Row],[Tag]],'Base de Dados'!$B$2:$C$64,2,0),"")</f>
        <v>CORTE DO CARPETE- WATER JET</v>
      </c>
      <c r="U76" s="18" t="str">
        <f>IFERROR(VLOOKUP(Tabela1[[#This Row],[Tag]],'Base de Dados'!V76:W128,2,0),"")</f>
        <v/>
      </c>
      <c r="V76" s="18">
        <f>DAY(Tabela1[[#This Row],[Data]])</f>
        <v>9</v>
      </c>
      <c r="W76" s="18">
        <f>MONTH(Tabela1[[#This Row],[Data]])</f>
        <v>11</v>
      </c>
      <c r="X76" s="18">
        <f>YEAR(Tabela1[[#This Row],[Data]])</f>
        <v>2022</v>
      </c>
    </row>
    <row r="77" spans="1:24" hidden="1" x14ac:dyDescent="0.25">
      <c r="A77" s="22">
        <v>12969</v>
      </c>
      <c r="B77" s="21">
        <v>44874</v>
      </c>
      <c r="C77" s="23">
        <v>15</v>
      </c>
      <c r="D77" s="24"/>
      <c r="E77" s="24"/>
      <c r="F77" s="24"/>
      <c r="G77" s="18" t="str">
        <f>IFERROR(VLOOKUP(Tabela1[[#This Row],[Mat. 1]],'Base de Dados'!$I$5:$J$21,2,0),"")</f>
        <v>ROBERT</v>
      </c>
      <c r="H77" s="18" t="str">
        <f>IFERROR(VLOOKUP(Tabela1[[#This Row],[Mat. 2]],'Base de Dados'!$I$5:$J$21,2,0),"")</f>
        <v/>
      </c>
      <c r="I77" s="18" t="str">
        <f>IFERROR(VLOOKUP(Tabela1[[#This Row],[Mat. 3]],'Base de Dados'!$I$5:$J$21,2,0),"")</f>
        <v/>
      </c>
      <c r="J77" s="18" t="str">
        <f>IFERROR(VLOOKUP(Tabela1[[#This Row],[Mat. 4]],'Base de Dados'!$I$5:$J$21,2,0),"")</f>
        <v/>
      </c>
      <c r="K77" s="18" t="str">
        <f>IFERROR(VLOOKUP(Tabela1[[#This Row],[Mat. 1]],'Base de Dados'!$I$2:$M$21,5,0),"")</f>
        <v>1º</v>
      </c>
      <c r="L77" s="18" t="s">
        <v>185</v>
      </c>
      <c r="M77" s="18" t="s">
        <v>316</v>
      </c>
      <c r="N77" s="18" t="s">
        <v>558</v>
      </c>
      <c r="O77" s="18">
        <v>53</v>
      </c>
      <c r="P77" s="18">
        <v>0</v>
      </c>
      <c r="Q77" s="45" t="s">
        <v>383</v>
      </c>
      <c r="R77" s="18" t="s">
        <v>116</v>
      </c>
      <c r="S77" s="18" t="str">
        <f>IFERROR(VLOOKUP(Tabela1[[#This Row],[Cód. Causa]],'Base de Dados'!$O$2:$P$21,2,0),"")</f>
        <v xml:space="preserve">EQUIPAMENTO TRABALHANDO COM CARGA EXCESSIVA </v>
      </c>
      <c r="T77" s="18" t="str">
        <f>IFERROR(VLOOKUP(Tabela1[[#This Row],[Tag]],'Base de Dados'!$B$2:$C$64,2,0),"")</f>
        <v>CORTE DO CARPETE- WATER JET</v>
      </c>
      <c r="U77" s="18" t="str">
        <f>IFERROR(VLOOKUP(Tabela1[[#This Row],[Tag]],'Base de Dados'!V77:W129,2,0),"")</f>
        <v/>
      </c>
      <c r="V77" s="18">
        <f>DAY(Tabela1[[#This Row],[Data]])</f>
        <v>9</v>
      </c>
      <c r="W77" s="18">
        <f>MONTH(Tabela1[[#This Row],[Data]])</f>
        <v>11</v>
      </c>
      <c r="X77" s="18">
        <f>YEAR(Tabela1[[#This Row],[Data]])</f>
        <v>2022</v>
      </c>
    </row>
    <row r="78" spans="1:24" hidden="1" x14ac:dyDescent="0.25">
      <c r="A78" s="22">
        <v>12970</v>
      </c>
      <c r="B78" s="21">
        <v>44874</v>
      </c>
      <c r="C78" s="23">
        <v>15</v>
      </c>
      <c r="D78" s="24"/>
      <c r="E78" s="24"/>
      <c r="F78" s="24"/>
      <c r="G78" s="18" t="str">
        <f>IFERROR(VLOOKUP(Tabela1[[#This Row],[Mat. 1]],'Base de Dados'!$I$5:$J$21,2,0),"")</f>
        <v>ROBERT</v>
      </c>
      <c r="H78" s="18" t="str">
        <f>IFERROR(VLOOKUP(Tabela1[[#This Row],[Mat. 2]],'Base de Dados'!$I$5:$J$21,2,0),"")</f>
        <v/>
      </c>
      <c r="I78" s="18" t="str">
        <f>IFERROR(VLOOKUP(Tabela1[[#This Row],[Mat. 3]],'Base de Dados'!$I$5:$J$21,2,0),"")</f>
        <v/>
      </c>
      <c r="J78" s="18" t="str">
        <f>IFERROR(VLOOKUP(Tabela1[[#This Row],[Mat. 4]],'Base de Dados'!$I$5:$J$21,2,0),"")</f>
        <v/>
      </c>
      <c r="K78" s="18" t="str">
        <f>IFERROR(VLOOKUP(Tabela1[[#This Row],[Mat. 1]],'Base de Dados'!$I$2:$M$21,5,0),"")</f>
        <v>1º</v>
      </c>
      <c r="L78" s="18" t="s">
        <v>187</v>
      </c>
      <c r="M78" s="18" t="s">
        <v>316</v>
      </c>
      <c r="N78" s="18" t="s">
        <v>558</v>
      </c>
      <c r="O78" s="18">
        <v>48</v>
      </c>
      <c r="P78" s="18">
        <v>0</v>
      </c>
      <c r="Q78" s="45" t="s">
        <v>259</v>
      </c>
      <c r="R78" s="18" t="s">
        <v>116</v>
      </c>
      <c r="S78" s="18" t="str">
        <f>IFERROR(VLOOKUP(Tabela1[[#This Row],[Cód. Causa]],'Base de Dados'!$O$2:$P$21,2,0),"")</f>
        <v xml:space="preserve">EQUIPAMENTO TRABALHANDO COM CARGA EXCESSIVA </v>
      </c>
      <c r="T78" s="18" t="str">
        <f>IFERROR(VLOOKUP(Tabela1[[#This Row],[Tag]],'Base de Dados'!$B$2:$C$64,2,0),"")</f>
        <v>CORTE DO CARPETE- WATER JET</v>
      </c>
      <c r="U78" s="18" t="str">
        <f>IFERROR(VLOOKUP(Tabela1[[#This Row],[Tag]],'Base de Dados'!V78:W130,2,0),"")</f>
        <v/>
      </c>
      <c r="V78" s="18">
        <f>DAY(Tabela1[[#This Row],[Data]])</f>
        <v>9</v>
      </c>
      <c r="W78" s="18">
        <f>MONTH(Tabela1[[#This Row],[Data]])</f>
        <v>11</v>
      </c>
      <c r="X78" s="18">
        <f>YEAR(Tabela1[[#This Row],[Data]])</f>
        <v>2022</v>
      </c>
    </row>
    <row r="79" spans="1:24" hidden="1" x14ac:dyDescent="0.25">
      <c r="A79" s="22">
        <v>15034</v>
      </c>
      <c r="B79" s="21">
        <v>44874</v>
      </c>
      <c r="C79" s="23">
        <v>677</v>
      </c>
      <c r="D79" s="24"/>
      <c r="E79" s="24"/>
      <c r="F79" s="24"/>
      <c r="G79" s="18" t="str">
        <f>IFERROR(VLOOKUP(Tabela1[[#This Row],[Mat. 1]],'Base de Dados'!$I$5:$J$21,2,0),"")</f>
        <v>RAFAEL</v>
      </c>
      <c r="H79" s="18" t="str">
        <f>IFERROR(VLOOKUP(Tabela1[[#This Row],[Mat. 2]],'Base de Dados'!$I$5:$J$21,2,0),"")</f>
        <v/>
      </c>
      <c r="I79" s="18" t="str">
        <f>IFERROR(VLOOKUP(Tabela1[[#This Row],[Mat. 3]],'Base de Dados'!$I$5:$J$21,2,0),"")</f>
        <v/>
      </c>
      <c r="J79" s="18" t="str">
        <f>IFERROR(VLOOKUP(Tabela1[[#This Row],[Mat. 4]],'Base de Dados'!$I$5:$J$21,2,0),"")</f>
        <v/>
      </c>
      <c r="K79" s="18" t="str">
        <f>IFERROR(VLOOKUP(Tabela1[[#This Row],[Mat. 1]],'Base de Dados'!$I$2:$M$21,5,0),"")</f>
        <v>2º</v>
      </c>
      <c r="L79" s="18" t="s">
        <v>187</v>
      </c>
      <c r="M79" s="18" t="s">
        <v>316</v>
      </c>
      <c r="N79" s="18" t="s">
        <v>558</v>
      </c>
      <c r="O79" s="18">
        <v>13</v>
      </c>
      <c r="P79" s="18">
        <v>0</v>
      </c>
      <c r="Q79" s="45" t="s">
        <v>259</v>
      </c>
      <c r="R79" s="18" t="s">
        <v>116</v>
      </c>
      <c r="S79" s="18" t="str">
        <f>IFERROR(VLOOKUP(Tabela1[[#This Row],[Cód. Causa]],'Base de Dados'!$O$2:$P$21,2,0),"")</f>
        <v xml:space="preserve">EQUIPAMENTO TRABALHANDO COM CARGA EXCESSIVA </v>
      </c>
      <c r="T79" s="18" t="str">
        <f>IFERROR(VLOOKUP(Tabela1[[#This Row],[Tag]],'Base de Dados'!$B$2:$C$64,2,0),"")</f>
        <v>CORTE DO CARPETE- WATER JET</v>
      </c>
      <c r="U79" s="18" t="str">
        <f>IFERROR(VLOOKUP(Tabela1[[#This Row],[Tag]],'Base de Dados'!V79:W131,2,0),"")</f>
        <v/>
      </c>
      <c r="V79" s="18">
        <f>DAY(Tabela1[[#This Row],[Data]])</f>
        <v>9</v>
      </c>
      <c r="W79" s="18">
        <f>MONTH(Tabela1[[#This Row],[Data]])</f>
        <v>11</v>
      </c>
      <c r="X79" s="18">
        <f>YEAR(Tabela1[[#This Row],[Data]])</f>
        <v>2022</v>
      </c>
    </row>
    <row r="80" spans="1:24" hidden="1" x14ac:dyDescent="0.25">
      <c r="A80" s="22">
        <v>12638</v>
      </c>
      <c r="B80" s="21">
        <v>44875</v>
      </c>
      <c r="C80" s="23">
        <v>248</v>
      </c>
      <c r="D80" s="24"/>
      <c r="E80" s="24"/>
      <c r="F80" s="24"/>
      <c r="G80" s="18" t="str">
        <f>IFERROR(VLOOKUP(Tabela1[[#This Row],[Mat. 1]],'Base de Dados'!$I$5:$J$21,2,0),"")</f>
        <v>RUIGUENS</v>
      </c>
      <c r="H80" s="18" t="str">
        <f>IFERROR(VLOOKUP(Tabela1[[#This Row],[Mat. 2]],'Base de Dados'!$I$5:$J$21,2,0),"")</f>
        <v/>
      </c>
      <c r="I80" s="18" t="str">
        <f>IFERROR(VLOOKUP(Tabela1[[#This Row],[Mat. 3]],'Base de Dados'!$I$5:$J$21,2,0),"")</f>
        <v/>
      </c>
      <c r="J80" s="18" t="str">
        <f>IFERROR(VLOOKUP(Tabela1[[#This Row],[Mat. 4]],'Base de Dados'!$I$5:$J$21,2,0),"")</f>
        <v/>
      </c>
      <c r="K80" s="18" t="str">
        <f>IFERROR(VLOOKUP(Tabela1[[#This Row],[Mat. 1]],'Base de Dados'!$I$2:$M$21,5,0),"")</f>
        <v>2º</v>
      </c>
      <c r="L80" s="18" t="s">
        <v>112</v>
      </c>
      <c r="M80" s="18" t="s">
        <v>316</v>
      </c>
      <c r="N80" s="18" t="s">
        <v>558</v>
      </c>
      <c r="O80" s="18">
        <v>150</v>
      </c>
      <c r="P80" s="18">
        <v>0</v>
      </c>
      <c r="Q80" s="45" t="s">
        <v>384</v>
      </c>
      <c r="R80" s="18" t="s">
        <v>116</v>
      </c>
      <c r="S80" s="18" t="str">
        <f>IFERROR(VLOOKUP(Tabela1[[#This Row],[Cód. Causa]],'Base de Dados'!$O$2:$P$21,2,0),"")</f>
        <v xml:space="preserve">EQUIPAMENTO TRABALHANDO COM CARGA EXCESSIVA </v>
      </c>
      <c r="T80" s="18" t="str">
        <f>IFERROR(VLOOKUP(Tabela1[[#This Row],[Tag]],'Base de Dados'!$B$2:$C$64,2,0),"")</f>
        <v>ROBÔ ABB APLIC. COLA DO TETO</v>
      </c>
      <c r="U80" s="18" t="str">
        <f>IFERROR(VLOOKUP(Tabela1[[#This Row],[Tag]],'Base de Dados'!V80:W132,2,0),"")</f>
        <v/>
      </c>
      <c r="V80" s="18">
        <f>DAY(Tabela1[[#This Row],[Data]])</f>
        <v>10</v>
      </c>
      <c r="W80" s="18">
        <f>MONTH(Tabela1[[#This Row],[Data]])</f>
        <v>11</v>
      </c>
      <c r="X80" s="18">
        <f>YEAR(Tabela1[[#This Row],[Data]])</f>
        <v>2022</v>
      </c>
    </row>
    <row r="81" spans="1:24" hidden="1" x14ac:dyDescent="0.25">
      <c r="A81" s="22">
        <v>12974</v>
      </c>
      <c r="B81" s="21">
        <v>44875</v>
      </c>
      <c r="C81" s="23">
        <v>782</v>
      </c>
      <c r="D81" s="24"/>
      <c r="E81" s="24"/>
      <c r="F81" s="24"/>
      <c r="G81" s="18" t="str">
        <f>IFERROR(VLOOKUP(Tabela1[[#This Row],[Mat. 1]],'Base de Dados'!$I$5:$J$21,2,0),"")</f>
        <v>JOSÉ</v>
      </c>
      <c r="H81" s="18" t="str">
        <f>IFERROR(VLOOKUP(Tabela1[[#This Row],[Mat. 2]],'Base de Dados'!$I$5:$J$21,2,0),"")</f>
        <v/>
      </c>
      <c r="I81" s="18" t="str">
        <f>IFERROR(VLOOKUP(Tabela1[[#This Row],[Mat. 3]],'Base de Dados'!$I$5:$J$21,2,0),"")</f>
        <v/>
      </c>
      <c r="J81" s="18" t="str">
        <f>IFERROR(VLOOKUP(Tabela1[[#This Row],[Mat. 4]],'Base de Dados'!$I$5:$J$21,2,0),"")</f>
        <v/>
      </c>
      <c r="K81" s="18" t="str">
        <f>IFERROR(VLOOKUP(Tabela1[[#This Row],[Mat. 1]],'Base de Dados'!$I$2:$M$21,5,0),"")</f>
        <v>3º</v>
      </c>
      <c r="L81" s="18" t="s">
        <v>104</v>
      </c>
      <c r="M81" s="18" t="s">
        <v>313</v>
      </c>
      <c r="N81" s="18" t="s">
        <v>558</v>
      </c>
      <c r="O81" s="18">
        <v>4</v>
      </c>
      <c r="P81" s="18">
        <v>0</v>
      </c>
      <c r="Q81" s="45" t="s">
        <v>336</v>
      </c>
      <c r="R81" s="18" t="s">
        <v>34</v>
      </c>
      <c r="S81" s="18" t="str">
        <f>IFERROR(VLOOKUP(Tabela1[[#This Row],[Cód. Causa]],'Base de Dados'!$O$2:$P$21,2,0),"")</f>
        <v>FALHA EM COMPONENTES ELETRONICO</v>
      </c>
      <c r="T81" s="18" t="str">
        <f>IFERROR(VLOOKUP(Tabela1[[#This Row],[Tag]],'Base de Dados'!$B$2:$C$64,2,0),"")</f>
        <v>PRENSA MOLDAGEM 2</v>
      </c>
      <c r="U81" s="18" t="str">
        <f>IFERROR(VLOOKUP(Tabela1[[#This Row],[Tag]],'Base de Dados'!V81:W133,2,0),"")</f>
        <v/>
      </c>
      <c r="V81" s="18">
        <f>DAY(Tabela1[[#This Row],[Data]])</f>
        <v>10</v>
      </c>
      <c r="W81" s="18">
        <f>MONTH(Tabela1[[#This Row],[Data]])</f>
        <v>11</v>
      </c>
      <c r="X81" s="18">
        <f>YEAR(Tabela1[[#This Row],[Data]])</f>
        <v>2022</v>
      </c>
    </row>
    <row r="82" spans="1:24" hidden="1" x14ac:dyDescent="0.25">
      <c r="A82" s="22">
        <v>12976</v>
      </c>
      <c r="B82" s="21">
        <v>44875</v>
      </c>
      <c r="C82" s="23">
        <v>739</v>
      </c>
      <c r="D82" s="24"/>
      <c r="E82" s="24"/>
      <c r="F82" s="24"/>
      <c r="G82" s="18" t="str">
        <f>IFERROR(VLOOKUP(Tabela1[[#This Row],[Mat. 1]],'Base de Dados'!$I$5:$J$21,2,0),"")</f>
        <v>DANILLO</v>
      </c>
      <c r="H82" s="18" t="str">
        <f>IFERROR(VLOOKUP(Tabela1[[#This Row],[Mat. 2]],'Base de Dados'!$I$5:$J$21,2,0),"")</f>
        <v/>
      </c>
      <c r="I82" s="18" t="str">
        <f>IFERROR(VLOOKUP(Tabela1[[#This Row],[Mat. 3]],'Base de Dados'!$I$5:$J$21,2,0),"")</f>
        <v/>
      </c>
      <c r="J82" s="18" t="str">
        <f>IFERROR(VLOOKUP(Tabela1[[#This Row],[Mat. 4]],'Base de Dados'!$I$5:$J$21,2,0),"")</f>
        <v/>
      </c>
      <c r="K82" s="18" t="str">
        <f>IFERROR(VLOOKUP(Tabela1[[#This Row],[Mat. 1]],'Base de Dados'!$I$2:$M$21,5,0),"")</f>
        <v>1º</v>
      </c>
      <c r="L82" s="18" t="s">
        <v>240</v>
      </c>
      <c r="M82" s="18" t="s">
        <v>313</v>
      </c>
      <c r="N82" s="18" t="s">
        <v>558</v>
      </c>
      <c r="O82" s="18">
        <v>25</v>
      </c>
      <c r="P82" s="18">
        <v>0</v>
      </c>
      <c r="Q82" s="45" t="s">
        <v>385</v>
      </c>
      <c r="R82" s="18" t="s">
        <v>34</v>
      </c>
      <c r="S82" s="18" t="str">
        <f>IFERROR(VLOOKUP(Tabela1[[#This Row],[Cód. Causa]],'Base de Dados'!$O$2:$P$21,2,0),"")</f>
        <v>FALHA EM COMPONENTES ELETRONICO</v>
      </c>
      <c r="T82" s="18" t="str">
        <f>IFERROR(VLOOKUP(Tabela1[[#This Row],[Tag]],'Base de Dados'!$B$2:$C$64,2,0),"")</f>
        <v/>
      </c>
      <c r="U82" s="18" t="str">
        <f>IFERROR(VLOOKUP(Tabela1[[#This Row],[Tag]],'Base de Dados'!V82:W134,2,0),"")</f>
        <v/>
      </c>
      <c r="V82" s="18">
        <f>DAY(Tabela1[[#This Row],[Data]])</f>
        <v>10</v>
      </c>
      <c r="W82" s="18">
        <f>MONTH(Tabela1[[#This Row],[Data]])</f>
        <v>11</v>
      </c>
      <c r="X82" s="18">
        <f>YEAR(Tabela1[[#This Row],[Data]])</f>
        <v>2022</v>
      </c>
    </row>
    <row r="83" spans="1:24" hidden="1" x14ac:dyDescent="0.25">
      <c r="A83" s="22">
        <v>13101</v>
      </c>
      <c r="B83" s="21">
        <v>44875</v>
      </c>
      <c r="C83" s="23">
        <v>248</v>
      </c>
      <c r="D83" s="24"/>
      <c r="E83" s="24"/>
      <c r="F83" s="24"/>
      <c r="G83" s="18" t="str">
        <f>IFERROR(VLOOKUP(Tabela1[[#This Row],[Mat. 1]],'Base de Dados'!$I$5:$J$21,2,0),"")</f>
        <v>RUIGUENS</v>
      </c>
      <c r="H83" s="18" t="str">
        <f>IFERROR(VLOOKUP(Tabela1[[#This Row],[Mat. 2]],'Base de Dados'!$I$5:$J$21,2,0),"")</f>
        <v/>
      </c>
      <c r="I83" s="18" t="str">
        <f>IFERROR(VLOOKUP(Tabela1[[#This Row],[Mat. 3]],'Base de Dados'!$I$5:$J$21,2,0),"")</f>
        <v/>
      </c>
      <c r="J83" s="18" t="str">
        <f>IFERROR(VLOOKUP(Tabela1[[#This Row],[Mat. 4]],'Base de Dados'!$I$5:$J$21,2,0),"")</f>
        <v/>
      </c>
      <c r="K83" s="18" t="str">
        <f>IFERROR(VLOOKUP(Tabela1[[#This Row],[Mat. 1]],'Base de Dados'!$I$2:$M$21,5,0),"")</f>
        <v>2º</v>
      </c>
      <c r="L83" s="18" t="s">
        <v>363</v>
      </c>
      <c r="M83" s="18" t="s">
        <v>313</v>
      </c>
      <c r="N83" s="18" t="s">
        <v>558</v>
      </c>
      <c r="O83" s="18">
        <v>7</v>
      </c>
      <c r="P83" s="18">
        <v>0</v>
      </c>
      <c r="Q83" s="45" t="s">
        <v>386</v>
      </c>
      <c r="R83" s="18" t="s">
        <v>34</v>
      </c>
      <c r="S83" s="18" t="str">
        <f>IFERROR(VLOOKUP(Tabela1[[#This Row],[Cód. Causa]],'Base de Dados'!$O$2:$P$21,2,0),"")</f>
        <v>FALHA EM COMPONENTES ELETRONICO</v>
      </c>
      <c r="T83" s="18" t="str">
        <f>IFERROR(VLOOKUP(Tabela1[[#This Row],[Tag]],'Base de Dados'!$B$2:$C$64,2,0),"")</f>
        <v/>
      </c>
      <c r="U83" s="18" t="str">
        <f>IFERROR(VLOOKUP(Tabela1[[#This Row],[Tag]],'Base de Dados'!V83:W135,2,0),"")</f>
        <v/>
      </c>
      <c r="V83" s="18">
        <f>DAY(Tabela1[[#This Row],[Data]])</f>
        <v>10</v>
      </c>
      <c r="W83" s="18">
        <f>MONTH(Tabela1[[#This Row],[Data]])</f>
        <v>11</v>
      </c>
      <c r="X83" s="18">
        <f>YEAR(Tabela1[[#This Row],[Data]])</f>
        <v>2022</v>
      </c>
    </row>
    <row r="84" spans="1:24" hidden="1" x14ac:dyDescent="0.25">
      <c r="A84" s="22">
        <v>15029</v>
      </c>
      <c r="B84" s="21">
        <v>44875</v>
      </c>
      <c r="C84" s="23">
        <v>631</v>
      </c>
      <c r="D84" s="24">
        <v>782</v>
      </c>
      <c r="E84" s="24"/>
      <c r="F84" s="24"/>
      <c r="G84" s="18" t="str">
        <f>IFERROR(VLOOKUP(Tabela1[[#This Row],[Mat. 1]],'Base de Dados'!$I$5:$J$21,2,0),"")</f>
        <v>JOSINALDO</v>
      </c>
      <c r="H84" s="18" t="str">
        <f>IFERROR(VLOOKUP(Tabela1[[#This Row],[Mat. 2]],'Base de Dados'!$I$5:$J$21,2,0),"")</f>
        <v>JOSÉ</v>
      </c>
      <c r="I84" s="18" t="str">
        <f>IFERROR(VLOOKUP(Tabela1[[#This Row],[Mat. 3]],'Base de Dados'!$I$5:$J$21,2,0),"")</f>
        <v/>
      </c>
      <c r="J84" s="18" t="str">
        <f>IFERROR(VLOOKUP(Tabela1[[#This Row],[Mat. 4]],'Base de Dados'!$I$5:$J$21,2,0),"")</f>
        <v/>
      </c>
      <c r="K84" s="18" t="str">
        <f>IFERROR(VLOOKUP(Tabela1[[#This Row],[Mat. 1]],'Base de Dados'!$I$2:$M$21,5,0),"")</f>
        <v>2º</v>
      </c>
      <c r="L84" s="18" t="s">
        <v>183</v>
      </c>
      <c r="M84" s="18" t="s">
        <v>313</v>
      </c>
      <c r="N84" s="18" t="s">
        <v>558</v>
      </c>
      <c r="O84" s="18">
        <v>7</v>
      </c>
      <c r="P84" s="18">
        <v>0</v>
      </c>
      <c r="Q84" s="45" t="s">
        <v>387</v>
      </c>
      <c r="R84" s="18" t="s">
        <v>34</v>
      </c>
      <c r="S84" s="18" t="str">
        <f>IFERROR(VLOOKUP(Tabela1[[#This Row],[Cód. Causa]],'Base de Dados'!$O$2:$P$21,2,0),"")</f>
        <v>FALHA EM COMPONENTES ELETRONICO</v>
      </c>
      <c r="T84" s="18" t="str">
        <f>IFERROR(VLOOKUP(Tabela1[[#This Row],[Tag]],'Base de Dados'!$B$2:$C$64,2,0),"")</f>
        <v>INJETORA CARPETE</v>
      </c>
      <c r="U84" s="18" t="str">
        <f>IFERROR(VLOOKUP(Tabela1[[#This Row],[Tag]],'Base de Dados'!V84:W136,2,0),"")</f>
        <v/>
      </c>
      <c r="V84" s="18">
        <f>DAY(Tabela1[[#This Row],[Data]])</f>
        <v>10</v>
      </c>
      <c r="W84" s="18">
        <f>MONTH(Tabela1[[#This Row],[Data]])</f>
        <v>11</v>
      </c>
      <c r="X84" s="18">
        <f>YEAR(Tabela1[[#This Row],[Data]])</f>
        <v>2022</v>
      </c>
    </row>
    <row r="85" spans="1:24" hidden="1" x14ac:dyDescent="0.25">
      <c r="A85" s="22">
        <v>15031</v>
      </c>
      <c r="B85" s="21">
        <v>44875</v>
      </c>
      <c r="C85" s="23">
        <v>739</v>
      </c>
      <c r="D85" s="24">
        <v>185</v>
      </c>
      <c r="E85" s="24"/>
      <c r="F85" s="24"/>
      <c r="G85" s="18" t="str">
        <f>IFERROR(VLOOKUP(Tabela1[[#This Row],[Mat. 1]],'Base de Dados'!$I$5:$J$21,2,0),"")</f>
        <v>DANILLO</v>
      </c>
      <c r="H85" s="18" t="str">
        <f>IFERROR(VLOOKUP(Tabela1[[#This Row],[Mat. 2]],'Base de Dados'!$I$5:$J$21,2,0),"")</f>
        <v>FELIPE</v>
      </c>
      <c r="I85" s="18" t="str">
        <f>IFERROR(VLOOKUP(Tabela1[[#This Row],[Mat. 3]],'Base de Dados'!$I$5:$J$21,2,0),"")</f>
        <v/>
      </c>
      <c r="J85" s="18" t="str">
        <f>IFERROR(VLOOKUP(Tabela1[[#This Row],[Mat. 4]],'Base de Dados'!$I$5:$J$21,2,0),"")</f>
        <v/>
      </c>
      <c r="K85" s="18" t="str">
        <f>IFERROR(VLOOKUP(Tabela1[[#This Row],[Mat. 1]],'Base de Dados'!$I$2:$M$21,5,0),"")</f>
        <v>1º</v>
      </c>
      <c r="L85" s="18" t="s">
        <v>73</v>
      </c>
      <c r="M85" s="18" t="s">
        <v>316</v>
      </c>
      <c r="N85" s="18" t="s">
        <v>558</v>
      </c>
      <c r="O85" s="18">
        <v>60</v>
      </c>
      <c r="P85" s="18">
        <v>0</v>
      </c>
      <c r="Q85" s="45" t="s">
        <v>388</v>
      </c>
      <c r="R85" s="18" t="s">
        <v>116</v>
      </c>
      <c r="S85" s="18" t="str">
        <f>IFERROR(VLOOKUP(Tabela1[[#This Row],[Cód. Causa]],'Base de Dados'!$O$2:$P$21,2,0),"")</f>
        <v xml:space="preserve">EQUIPAMENTO TRABALHANDO COM CARGA EXCESSIVA </v>
      </c>
      <c r="T85" s="18" t="str">
        <f>IFERROR(VLOOKUP(Tabela1[[#This Row],[Tag]],'Base de Dados'!$B$2:$C$64,2,0),"")</f>
        <v>PRENSA COM INJEÇÃO PU INNER 02</v>
      </c>
      <c r="U85" s="18" t="str">
        <f>IFERROR(VLOOKUP(Tabela1[[#This Row],[Tag]],'Base de Dados'!V85:W137,2,0),"")</f>
        <v/>
      </c>
      <c r="V85" s="18">
        <f>DAY(Tabela1[[#This Row],[Data]])</f>
        <v>10</v>
      </c>
      <c r="W85" s="18">
        <f>MONTH(Tabela1[[#This Row],[Data]])</f>
        <v>11</v>
      </c>
      <c r="X85" s="18">
        <f>YEAR(Tabela1[[#This Row],[Data]])</f>
        <v>2022</v>
      </c>
    </row>
    <row r="86" spans="1:24" hidden="1" x14ac:dyDescent="0.25">
      <c r="A86" s="22">
        <v>15032</v>
      </c>
      <c r="B86" s="21">
        <v>44875</v>
      </c>
      <c r="C86" s="23">
        <v>739</v>
      </c>
      <c r="D86" s="24">
        <v>185</v>
      </c>
      <c r="E86" s="24"/>
      <c r="F86" s="24"/>
      <c r="G86" s="18" t="str">
        <f>IFERROR(VLOOKUP(Tabela1[[#This Row],[Mat. 1]],'Base de Dados'!$I$5:$J$21,2,0),"")</f>
        <v>DANILLO</v>
      </c>
      <c r="H86" s="18" t="str">
        <f>IFERROR(VLOOKUP(Tabela1[[#This Row],[Mat. 2]],'Base de Dados'!$I$5:$J$21,2,0),"")</f>
        <v>FELIPE</v>
      </c>
      <c r="I86" s="18" t="str">
        <f>IFERROR(VLOOKUP(Tabela1[[#This Row],[Mat. 3]],'Base de Dados'!$I$5:$J$21,2,0),"")</f>
        <v/>
      </c>
      <c r="J86" s="18" t="str">
        <f>IFERROR(VLOOKUP(Tabela1[[#This Row],[Mat. 4]],'Base de Dados'!$I$5:$J$21,2,0),"")</f>
        <v/>
      </c>
      <c r="K86" s="18" t="str">
        <f>IFERROR(VLOOKUP(Tabela1[[#This Row],[Mat. 1]],'Base de Dados'!$I$2:$M$21,5,0),"")</f>
        <v>1º</v>
      </c>
      <c r="L86" s="18" t="s">
        <v>79</v>
      </c>
      <c r="M86" s="18" t="s">
        <v>316</v>
      </c>
      <c r="N86" s="18" t="s">
        <v>558</v>
      </c>
      <c r="O86" s="18">
        <v>60</v>
      </c>
      <c r="P86" s="18">
        <v>0</v>
      </c>
      <c r="Q86" s="45" t="s">
        <v>389</v>
      </c>
      <c r="R86" s="18" t="s">
        <v>116</v>
      </c>
      <c r="S86" s="18" t="str">
        <f>IFERROR(VLOOKUP(Tabela1[[#This Row],[Cód. Causa]],'Base de Dados'!$O$2:$P$21,2,0),"")</f>
        <v xml:space="preserve">EQUIPAMENTO TRABALHANDO COM CARGA EXCESSIVA </v>
      </c>
      <c r="T86" s="18" t="str">
        <f>IFERROR(VLOOKUP(Tabela1[[#This Row],[Tag]],'Base de Dados'!$B$2:$C$64,2,0),"")</f>
        <v>PRENSA COM INJEÇÃO PU INNER 03</v>
      </c>
      <c r="U86" s="18" t="str">
        <f>IFERROR(VLOOKUP(Tabela1[[#This Row],[Tag]],'Base de Dados'!V86:W138,2,0),"")</f>
        <v/>
      </c>
      <c r="V86" s="18">
        <f>DAY(Tabela1[[#This Row],[Data]])</f>
        <v>10</v>
      </c>
      <c r="W86" s="18">
        <f>MONTH(Tabela1[[#This Row],[Data]])</f>
        <v>11</v>
      </c>
      <c r="X86" s="18">
        <f>YEAR(Tabela1[[#This Row],[Data]])</f>
        <v>2022</v>
      </c>
    </row>
    <row r="87" spans="1:24" hidden="1" x14ac:dyDescent="0.25">
      <c r="A87" s="22">
        <v>13002</v>
      </c>
      <c r="B87" s="21">
        <v>44876</v>
      </c>
      <c r="C87" s="23">
        <v>592</v>
      </c>
      <c r="D87" s="24"/>
      <c r="E87" s="24"/>
      <c r="F87" s="24"/>
      <c r="G87" s="18" t="str">
        <f>IFERROR(VLOOKUP(Tabela1[[#This Row],[Mat. 1]],'Base de Dados'!$I$5:$J$21,2,0),"")</f>
        <v>CRISTIANO</v>
      </c>
      <c r="H87" s="18" t="str">
        <f>IFERROR(VLOOKUP(Tabela1[[#This Row],[Mat. 2]],'Base de Dados'!$I$5:$J$21,2,0),"")</f>
        <v/>
      </c>
      <c r="I87" s="18" t="str">
        <f>IFERROR(VLOOKUP(Tabela1[[#This Row],[Mat. 3]],'Base de Dados'!$I$5:$J$21,2,0),"")</f>
        <v/>
      </c>
      <c r="J87" s="18" t="str">
        <f>IFERROR(VLOOKUP(Tabela1[[#This Row],[Mat. 4]],'Base de Dados'!$I$5:$J$21,2,0),"")</f>
        <v/>
      </c>
      <c r="K87" s="18" t="str">
        <f>IFERROR(VLOOKUP(Tabela1[[#This Row],[Mat. 1]],'Base de Dados'!$I$2:$M$21,5,0),"")</f>
        <v>1º</v>
      </c>
      <c r="L87" s="18" t="s">
        <v>104</v>
      </c>
      <c r="M87" s="18" t="s">
        <v>316</v>
      </c>
      <c r="N87" s="18" t="s">
        <v>558</v>
      </c>
      <c r="O87" s="18">
        <v>57</v>
      </c>
      <c r="P87" s="18">
        <v>0</v>
      </c>
      <c r="Q87" s="45" t="s">
        <v>390</v>
      </c>
      <c r="R87" s="18" t="s">
        <v>116</v>
      </c>
      <c r="S87" s="18" t="str">
        <f>IFERROR(VLOOKUP(Tabela1[[#This Row],[Cód. Causa]],'Base de Dados'!$O$2:$P$21,2,0),"")</f>
        <v xml:space="preserve">EQUIPAMENTO TRABALHANDO COM CARGA EXCESSIVA </v>
      </c>
      <c r="T87" s="18" t="str">
        <f>IFERROR(VLOOKUP(Tabela1[[#This Row],[Tag]],'Base de Dados'!$B$2:$C$64,2,0),"")</f>
        <v>PRENSA MOLDAGEM 2</v>
      </c>
      <c r="U87" s="18" t="str">
        <f>IFERROR(VLOOKUP(Tabela1[[#This Row],[Tag]],'Base de Dados'!V87:W139,2,0),"")</f>
        <v/>
      </c>
      <c r="V87" s="18">
        <f>DAY(Tabela1[[#This Row],[Data]])</f>
        <v>11</v>
      </c>
      <c r="W87" s="18">
        <f>MONTH(Tabela1[[#This Row],[Data]])</f>
        <v>11</v>
      </c>
      <c r="X87" s="18">
        <f>YEAR(Tabela1[[#This Row],[Data]])</f>
        <v>2022</v>
      </c>
    </row>
    <row r="88" spans="1:24" hidden="1" x14ac:dyDescent="0.25">
      <c r="A88" s="22">
        <v>12978</v>
      </c>
      <c r="B88" s="21">
        <v>44877</v>
      </c>
      <c r="C88" s="23">
        <v>73</v>
      </c>
      <c r="D88" s="24">
        <v>444</v>
      </c>
      <c r="E88" s="24"/>
      <c r="F88" s="24"/>
      <c r="G88" s="18" t="str">
        <f>IFERROR(VLOOKUP(Tabela1[[#This Row],[Mat. 1]],'Base de Dados'!$I$5:$J$21,2,0),"")</f>
        <v>VALDEMAR</v>
      </c>
      <c r="H88" s="18" t="str">
        <f>IFERROR(VLOOKUP(Tabela1[[#This Row],[Mat. 2]],'Base de Dados'!$I$5:$J$21,2,0),"")</f>
        <v>EDUARDO</v>
      </c>
      <c r="I88" s="18" t="str">
        <f>IFERROR(VLOOKUP(Tabela1[[#This Row],[Mat. 3]],'Base de Dados'!$I$5:$J$21,2,0),"")</f>
        <v/>
      </c>
      <c r="J88" s="18" t="str">
        <f>IFERROR(VLOOKUP(Tabela1[[#This Row],[Mat. 4]],'Base de Dados'!$I$5:$J$21,2,0),"")</f>
        <v/>
      </c>
      <c r="K88" s="18" t="str">
        <f>IFERROR(VLOOKUP(Tabela1[[#This Row],[Mat. 1]],'Base de Dados'!$I$2:$M$21,5,0),"")</f>
        <v>3º</v>
      </c>
      <c r="L88" s="18" t="s">
        <v>104</v>
      </c>
      <c r="M88" s="18" t="s">
        <v>316</v>
      </c>
      <c r="N88" s="18" t="s">
        <v>558</v>
      </c>
      <c r="O88" s="18">
        <v>30</v>
      </c>
      <c r="P88" s="18">
        <v>0</v>
      </c>
      <c r="Q88" s="45" t="s">
        <v>391</v>
      </c>
      <c r="R88" s="18" t="s">
        <v>116</v>
      </c>
      <c r="S88" s="18" t="str">
        <f>IFERROR(VLOOKUP(Tabela1[[#This Row],[Cód. Causa]],'Base de Dados'!$O$2:$P$21,2,0),"")</f>
        <v xml:space="preserve">EQUIPAMENTO TRABALHANDO COM CARGA EXCESSIVA </v>
      </c>
      <c r="T88" s="18" t="str">
        <f>IFERROR(VLOOKUP(Tabela1[[#This Row],[Tag]],'Base de Dados'!$B$2:$C$64,2,0),"")</f>
        <v>PRENSA MOLDAGEM 2</v>
      </c>
      <c r="U88" s="18" t="str">
        <f>IFERROR(VLOOKUP(Tabela1[[#This Row],[Tag]],'Base de Dados'!V88:W140,2,0),"")</f>
        <v/>
      </c>
      <c r="V88" s="18">
        <f>DAY(Tabela1[[#This Row],[Data]])</f>
        <v>12</v>
      </c>
      <c r="W88" s="18">
        <f>MONTH(Tabela1[[#This Row],[Data]])</f>
        <v>11</v>
      </c>
      <c r="X88" s="18">
        <f>YEAR(Tabela1[[#This Row],[Data]])</f>
        <v>2022</v>
      </c>
    </row>
    <row r="89" spans="1:24" hidden="1" x14ac:dyDescent="0.25">
      <c r="A89" s="22">
        <v>12647</v>
      </c>
      <c r="B89" s="21">
        <v>44885</v>
      </c>
      <c r="C89" s="23">
        <v>444</v>
      </c>
      <c r="D89" s="24"/>
      <c r="E89" s="24"/>
      <c r="F89" s="24"/>
      <c r="G89" s="18" t="str">
        <f>IFERROR(VLOOKUP(Tabela1[[#This Row],[Mat. 1]],'Base de Dados'!$I$5:$J$21,2,0),"")</f>
        <v>EDUARDO</v>
      </c>
      <c r="H89" s="18" t="str">
        <f>IFERROR(VLOOKUP(Tabela1[[#This Row],[Mat. 2]],'Base de Dados'!$I$5:$J$21,2,0),"")</f>
        <v/>
      </c>
      <c r="I89" s="18" t="str">
        <f>IFERROR(VLOOKUP(Tabela1[[#This Row],[Mat. 3]],'Base de Dados'!$I$5:$J$21,2,0),"")</f>
        <v/>
      </c>
      <c r="J89" s="18" t="str">
        <f>IFERROR(VLOOKUP(Tabela1[[#This Row],[Mat. 4]],'Base de Dados'!$I$5:$J$21,2,0),"")</f>
        <v/>
      </c>
      <c r="K89" s="18" t="str">
        <f>IFERROR(VLOOKUP(Tabela1[[#This Row],[Mat. 1]],'Base de Dados'!$I$2:$M$21,5,0),"")</f>
        <v>3º</v>
      </c>
      <c r="L89" s="18" t="s">
        <v>112</v>
      </c>
      <c r="M89" s="18" t="s">
        <v>316</v>
      </c>
      <c r="N89" s="18" t="s">
        <v>558</v>
      </c>
      <c r="O89" s="18">
        <v>0</v>
      </c>
      <c r="P89" s="18">
        <v>30</v>
      </c>
      <c r="Q89" s="45" t="s">
        <v>392</v>
      </c>
      <c r="R89" s="18" t="s">
        <v>116</v>
      </c>
      <c r="S89" s="18" t="str">
        <f>IFERROR(VLOOKUP(Tabela1[[#This Row],[Cód. Causa]],'Base de Dados'!$O$2:$P$21,2,0),"")</f>
        <v xml:space="preserve">EQUIPAMENTO TRABALHANDO COM CARGA EXCESSIVA </v>
      </c>
      <c r="T89" s="18" t="str">
        <f>IFERROR(VLOOKUP(Tabela1[[#This Row],[Tag]],'Base de Dados'!$B$2:$C$64,2,0),"")</f>
        <v>ROBÔ ABB APLIC. COLA DO TETO</v>
      </c>
      <c r="U89" s="18" t="str">
        <f>IFERROR(VLOOKUP(Tabela1[[#This Row],[Tag]],'Base de Dados'!V89:W141,2,0),"")</f>
        <v/>
      </c>
      <c r="V89" s="18">
        <f>DAY(Tabela1[[#This Row],[Data]])</f>
        <v>20</v>
      </c>
      <c r="W89" s="18">
        <f>MONTH(Tabela1[[#This Row],[Data]])</f>
        <v>11</v>
      </c>
      <c r="X89" s="18">
        <f>YEAR(Tabela1[[#This Row],[Data]])</f>
        <v>2022</v>
      </c>
    </row>
    <row r="90" spans="1:24" hidden="1" x14ac:dyDescent="0.25">
      <c r="A90" s="22">
        <v>12649</v>
      </c>
      <c r="B90" s="21">
        <v>44885</v>
      </c>
      <c r="C90" s="23">
        <v>444</v>
      </c>
      <c r="D90" s="24"/>
      <c r="E90" s="24"/>
      <c r="F90" s="24"/>
      <c r="G90" s="18" t="str">
        <f>IFERROR(VLOOKUP(Tabela1[[#This Row],[Mat. 1]],'Base de Dados'!$I$5:$J$21,2,0),"")</f>
        <v>EDUARDO</v>
      </c>
      <c r="H90" s="18" t="str">
        <f>IFERROR(VLOOKUP(Tabela1[[#This Row],[Mat. 2]],'Base de Dados'!$I$5:$J$21,2,0),"")</f>
        <v/>
      </c>
      <c r="I90" s="18" t="str">
        <f>IFERROR(VLOOKUP(Tabela1[[#This Row],[Mat. 3]],'Base de Dados'!$I$5:$J$21,2,0),"")</f>
        <v/>
      </c>
      <c r="J90" s="18" t="str">
        <f>IFERROR(VLOOKUP(Tabela1[[#This Row],[Mat. 4]],'Base de Dados'!$I$5:$J$21,2,0),"")</f>
        <v/>
      </c>
      <c r="K90" s="18" t="str">
        <f>IFERROR(VLOOKUP(Tabela1[[#This Row],[Mat. 1]],'Base de Dados'!$I$2:$M$21,5,0),"")</f>
        <v>3º</v>
      </c>
      <c r="L90" s="18" t="s">
        <v>112</v>
      </c>
      <c r="M90" s="18" t="s">
        <v>316</v>
      </c>
      <c r="N90" s="18" t="s">
        <v>558</v>
      </c>
      <c r="O90" s="18">
        <v>0</v>
      </c>
      <c r="P90" s="18">
        <v>210</v>
      </c>
      <c r="Q90" s="45" t="s">
        <v>393</v>
      </c>
      <c r="R90" s="18" t="s">
        <v>116</v>
      </c>
      <c r="S90" s="18" t="str">
        <f>IFERROR(VLOOKUP(Tabela1[[#This Row],[Cód. Causa]],'Base de Dados'!$O$2:$P$21,2,0),"")</f>
        <v xml:space="preserve">EQUIPAMENTO TRABALHANDO COM CARGA EXCESSIVA </v>
      </c>
      <c r="T90" s="18" t="str">
        <f>IFERROR(VLOOKUP(Tabela1[[#This Row],[Tag]],'Base de Dados'!$B$2:$C$64,2,0),"")</f>
        <v>ROBÔ ABB APLIC. COLA DO TETO</v>
      </c>
      <c r="U90" s="18" t="str">
        <f>IFERROR(VLOOKUP(Tabela1[[#This Row],[Tag]],'Base de Dados'!V90:W142,2,0),"")</f>
        <v/>
      </c>
      <c r="V90" s="18">
        <f>DAY(Tabela1[[#This Row],[Data]])</f>
        <v>20</v>
      </c>
      <c r="W90" s="18">
        <f>MONTH(Tabela1[[#This Row],[Data]])</f>
        <v>11</v>
      </c>
      <c r="X90" s="18">
        <f>YEAR(Tabela1[[#This Row],[Data]])</f>
        <v>2022</v>
      </c>
    </row>
    <row r="91" spans="1:24" hidden="1" x14ac:dyDescent="0.25">
      <c r="A91" s="22">
        <v>12657</v>
      </c>
      <c r="B91" s="21">
        <v>44885</v>
      </c>
      <c r="C91" s="23">
        <v>73</v>
      </c>
      <c r="D91" s="24">
        <v>444</v>
      </c>
      <c r="E91" s="24"/>
      <c r="F91" s="24"/>
      <c r="G91" s="18" t="str">
        <f>IFERROR(VLOOKUP(Tabela1[[#This Row],[Mat. 1]],'Base de Dados'!$I$5:$J$21,2,0),"")</f>
        <v>VALDEMAR</v>
      </c>
      <c r="H91" s="18" t="str">
        <f>IFERROR(VLOOKUP(Tabela1[[#This Row],[Mat. 2]],'Base de Dados'!$I$5:$J$21,2,0),"")</f>
        <v>EDUARDO</v>
      </c>
      <c r="I91" s="18" t="str">
        <f>IFERROR(VLOOKUP(Tabela1[[#This Row],[Mat. 3]],'Base de Dados'!$I$5:$J$21,2,0),"")</f>
        <v/>
      </c>
      <c r="J91" s="18" t="str">
        <f>IFERROR(VLOOKUP(Tabela1[[#This Row],[Mat. 4]],'Base de Dados'!$I$5:$J$21,2,0),"")</f>
        <v/>
      </c>
      <c r="K91" s="18" t="str">
        <f>IFERROR(VLOOKUP(Tabela1[[#This Row],[Mat. 1]],'Base de Dados'!$I$2:$M$21,5,0),"")</f>
        <v>3º</v>
      </c>
      <c r="L91" s="18" t="s">
        <v>73</v>
      </c>
      <c r="M91" s="18" t="s">
        <v>316</v>
      </c>
      <c r="N91" s="18" t="s">
        <v>558</v>
      </c>
      <c r="O91" s="18">
        <v>0</v>
      </c>
      <c r="P91" s="18">
        <v>60</v>
      </c>
      <c r="Q91" s="45" t="s">
        <v>394</v>
      </c>
      <c r="R91" s="18" t="s">
        <v>116</v>
      </c>
      <c r="S91" s="18" t="str">
        <f>IFERROR(VLOOKUP(Tabela1[[#This Row],[Cód. Causa]],'Base de Dados'!$O$2:$P$21,2,0),"")</f>
        <v xml:space="preserve">EQUIPAMENTO TRABALHANDO COM CARGA EXCESSIVA </v>
      </c>
      <c r="T91" s="18" t="str">
        <f>IFERROR(VLOOKUP(Tabela1[[#This Row],[Tag]],'Base de Dados'!$B$2:$C$64,2,0),"")</f>
        <v>PRENSA COM INJEÇÃO PU INNER 02</v>
      </c>
      <c r="U91" s="18" t="str">
        <f>IFERROR(VLOOKUP(Tabela1[[#This Row],[Tag]],'Base de Dados'!V91:W143,2,0),"")</f>
        <v/>
      </c>
      <c r="V91" s="18">
        <f>DAY(Tabela1[[#This Row],[Data]])</f>
        <v>20</v>
      </c>
      <c r="W91" s="18">
        <f>MONTH(Tabela1[[#This Row],[Data]])</f>
        <v>11</v>
      </c>
      <c r="X91" s="18">
        <f>YEAR(Tabela1[[#This Row],[Data]])</f>
        <v>2022</v>
      </c>
    </row>
    <row r="92" spans="1:24" hidden="1" x14ac:dyDescent="0.25">
      <c r="A92" s="22">
        <v>15035</v>
      </c>
      <c r="B92" s="21">
        <v>44885</v>
      </c>
      <c r="C92" s="23">
        <v>73</v>
      </c>
      <c r="D92" s="24">
        <v>782</v>
      </c>
      <c r="E92" s="24"/>
      <c r="F92" s="24"/>
      <c r="G92" s="18" t="str">
        <f>IFERROR(VLOOKUP(Tabela1[[#This Row],[Mat. 1]],'Base de Dados'!$I$5:$J$21,2,0),"")</f>
        <v>VALDEMAR</v>
      </c>
      <c r="H92" s="18" t="str">
        <f>IFERROR(VLOOKUP(Tabela1[[#This Row],[Mat. 2]],'Base de Dados'!$I$5:$J$21,2,0),"")</f>
        <v>JOSÉ</v>
      </c>
      <c r="I92" s="18" t="str">
        <f>IFERROR(VLOOKUP(Tabela1[[#This Row],[Mat. 3]],'Base de Dados'!$I$5:$J$21,2,0),"")</f>
        <v/>
      </c>
      <c r="J92" s="18" t="str">
        <f>IFERROR(VLOOKUP(Tabela1[[#This Row],[Mat. 4]],'Base de Dados'!$I$5:$J$21,2,0),"")</f>
        <v/>
      </c>
      <c r="K92" s="18" t="str">
        <f>IFERROR(VLOOKUP(Tabela1[[#This Row],[Mat. 1]],'Base de Dados'!$I$2:$M$21,5,0),"")</f>
        <v>3º</v>
      </c>
      <c r="L92" s="18" t="s">
        <v>183</v>
      </c>
      <c r="M92" s="18" t="s">
        <v>313</v>
      </c>
      <c r="N92" s="18" t="s">
        <v>558</v>
      </c>
      <c r="O92" s="18">
        <v>0</v>
      </c>
      <c r="P92" s="18">
        <v>2</v>
      </c>
      <c r="Q92" s="45" t="s">
        <v>395</v>
      </c>
      <c r="R92" s="18" t="s">
        <v>34</v>
      </c>
      <c r="S92" s="18" t="str">
        <f>IFERROR(VLOOKUP(Tabela1[[#This Row],[Cód. Causa]],'Base de Dados'!$O$2:$P$21,2,0),"")</f>
        <v>FALHA EM COMPONENTES ELETRONICO</v>
      </c>
      <c r="T92" s="18" t="str">
        <f>IFERROR(VLOOKUP(Tabela1[[#This Row],[Tag]],'Base de Dados'!$B$2:$C$64,2,0),"")</f>
        <v>INJETORA CARPETE</v>
      </c>
      <c r="U92" s="18" t="str">
        <f>IFERROR(VLOOKUP(Tabela1[[#This Row],[Tag]],'Base de Dados'!V92:W144,2,0),"")</f>
        <v/>
      </c>
      <c r="V92" s="18">
        <f>DAY(Tabela1[[#This Row],[Data]])</f>
        <v>20</v>
      </c>
      <c r="W92" s="18">
        <f>MONTH(Tabela1[[#This Row],[Data]])</f>
        <v>11</v>
      </c>
      <c r="X92" s="18">
        <f>YEAR(Tabela1[[#This Row],[Data]])</f>
        <v>2022</v>
      </c>
    </row>
    <row r="93" spans="1:24" x14ac:dyDescent="0.25">
      <c r="A93" s="22">
        <v>10052</v>
      </c>
      <c r="B93" s="21">
        <v>44886</v>
      </c>
      <c r="C93" s="23">
        <v>721</v>
      </c>
      <c r="D93" s="24">
        <v>493</v>
      </c>
      <c r="E93" s="24"/>
      <c r="F93" s="24"/>
      <c r="G93" s="18" t="str">
        <f>IFERROR(VLOOKUP(Tabela1[[#This Row],[Mat. 1]],'Base de Dados'!$I$5:$J$21,2,0),"")</f>
        <v>GENILSON</v>
      </c>
      <c r="H93" s="18" t="str">
        <f>IFERROR(VLOOKUP(Tabela1[[#This Row],[Mat. 2]],'Base de Dados'!$I$5:$J$21,2,0),"")</f>
        <v>ELIAS</v>
      </c>
      <c r="I93" s="18" t="str">
        <f>IFERROR(VLOOKUP(Tabela1[[#This Row],[Mat. 3]],'Base de Dados'!$I$5:$J$21,2,0),"")</f>
        <v/>
      </c>
      <c r="J93" s="18" t="str">
        <f>IFERROR(VLOOKUP(Tabela1[[#This Row],[Mat. 4]],'Base de Dados'!$I$5:$J$21,2,0),"")</f>
        <v/>
      </c>
      <c r="K93" s="18" t="str">
        <f>IFERROR(VLOOKUP(Tabela1[[#This Row],[Mat. 1]],'Base de Dados'!$I$2:$M$21,5,0),"")</f>
        <v>1º</v>
      </c>
      <c r="L93" s="18" t="s">
        <v>11</v>
      </c>
      <c r="M93" s="18" t="s">
        <v>316</v>
      </c>
      <c r="N93" s="18" t="s">
        <v>558</v>
      </c>
      <c r="O93" s="18">
        <v>60</v>
      </c>
      <c r="P93" s="18">
        <v>0</v>
      </c>
      <c r="Q93" s="45" t="s">
        <v>396</v>
      </c>
      <c r="R93" s="18" t="s">
        <v>116</v>
      </c>
      <c r="S93" s="18" t="str">
        <f>IFERROR(VLOOKUP(Tabela1[[#This Row],[Cód. Causa]],'Base de Dados'!$O$2:$P$21,2,0),"")</f>
        <v xml:space="preserve">EQUIPAMENTO TRABALHANDO COM CARGA EXCESSIVA </v>
      </c>
      <c r="T93" s="18" t="str">
        <f>IFERROR(VLOOKUP(Tabela1[[#This Row],[Tag]],'Base de Dados'!$B$2:$C$64,2,0),"")</f>
        <v>INJETORA CANON</v>
      </c>
      <c r="U93" s="18" t="str">
        <f>IFERROR(VLOOKUP(Tabela1[[#This Row],[Tag]],'Base de Dados'!V93:W145,2,0),"")</f>
        <v/>
      </c>
      <c r="V93" s="18">
        <f>DAY(Tabela1[[#This Row],[Data]])</f>
        <v>21</v>
      </c>
      <c r="W93" s="18">
        <f>MONTH(Tabela1[[#This Row],[Data]])</f>
        <v>11</v>
      </c>
      <c r="X93" s="18">
        <f>YEAR(Tabela1[[#This Row],[Data]])</f>
        <v>2022</v>
      </c>
    </row>
    <row r="94" spans="1:24" hidden="1" x14ac:dyDescent="0.25">
      <c r="A94" s="22">
        <v>12646</v>
      </c>
      <c r="B94" s="21">
        <v>44886</v>
      </c>
      <c r="C94" s="23">
        <v>444</v>
      </c>
      <c r="D94" s="24">
        <v>73</v>
      </c>
      <c r="E94" s="24"/>
      <c r="F94" s="24"/>
      <c r="G94" s="18" t="str">
        <f>IFERROR(VLOOKUP(Tabela1[[#This Row],[Mat. 1]],'Base de Dados'!$I$5:$J$21,2,0),"")</f>
        <v>EDUARDO</v>
      </c>
      <c r="H94" s="18" t="str">
        <f>IFERROR(VLOOKUP(Tabela1[[#This Row],[Mat. 2]],'Base de Dados'!$I$5:$J$21,2,0),"")</f>
        <v>VALDEMAR</v>
      </c>
      <c r="I94" s="18" t="str">
        <f>IFERROR(VLOOKUP(Tabela1[[#This Row],[Mat. 3]],'Base de Dados'!$I$5:$J$21,2,0),"")</f>
        <v/>
      </c>
      <c r="J94" s="18" t="str">
        <f>IFERROR(VLOOKUP(Tabela1[[#This Row],[Mat. 4]],'Base de Dados'!$I$5:$J$21,2,0),"")</f>
        <v/>
      </c>
      <c r="K94" s="18" t="str">
        <f>IFERROR(VLOOKUP(Tabela1[[#This Row],[Mat. 1]],'Base de Dados'!$I$2:$M$21,5,0),"")</f>
        <v>3º</v>
      </c>
      <c r="L94" s="18" t="s">
        <v>104</v>
      </c>
      <c r="M94" s="18" t="s">
        <v>316</v>
      </c>
      <c r="N94" s="18" t="s">
        <v>558</v>
      </c>
      <c r="O94" s="18">
        <v>35</v>
      </c>
      <c r="P94" s="18">
        <v>0</v>
      </c>
      <c r="Q94" s="45" t="s">
        <v>359</v>
      </c>
      <c r="R94" s="18" t="s">
        <v>116</v>
      </c>
      <c r="S94" s="18" t="str">
        <f>IFERROR(VLOOKUP(Tabela1[[#This Row],[Cód. Causa]],'Base de Dados'!$O$2:$P$21,2,0),"")</f>
        <v xml:space="preserve">EQUIPAMENTO TRABALHANDO COM CARGA EXCESSIVA </v>
      </c>
      <c r="T94" s="18" t="str">
        <f>IFERROR(VLOOKUP(Tabela1[[#This Row],[Tag]],'Base de Dados'!$B$2:$C$64,2,0),"")</f>
        <v>PRENSA MOLDAGEM 2</v>
      </c>
      <c r="U94" s="18" t="str">
        <f>IFERROR(VLOOKUP(Tabela1[[#This Row],[Tag]],'Base de Dados'!V94:W146,2,0),"")</f>
        <v/>
      </c>
      <c r="V94" s="18">
        <f>DAY(Tabela1[[#This Row],[Data]])</f>
        <v>21</v>
      </c>
      <c r="W94" s="18">
        <f>MONTH(Tabela1[[#This Row],[Data]])</f>
        <v>11</v>
      </c>
      <c r="X94" s="18">
        <f>YEAR(Tabela1[[#This Row],[Data]])</f>
        <v>2022</v>
      </c>
    </row>
    <row r="95" spans="1:24" hidden="1" x14ac:dyDescent="0.25">
      <c r="A95" s="22">
        <v>12648</v>
      </c>
      <c r="B95" s="21">
        <v>44886</v>
      </c>
      <c r="C95" s="23">
        <v>782</v>
      </c>
      <c r="D95" s="24"/>
      <c r="E95" s="24"/>
      <c r="F95" s="24"/>
      <c r="G95" s="18" t="str">
        <f>IFERROR(VLOOKUP(Tabela1[[#This Row],[Mat. 1]],'Base de Dados'!$I$5:$J$21,2,0),"")</f>
        <v>JOSÉ</v>
      </c>
      <c r="H95" s="18" t="str">
        <f>IFERROR(VLOOKUP(Tabela1[[#This Row],[Mat. 2]],'Base de Dados'!$I$5:$J$21,2,0),"")</f>
        <v/>
      </c>
      <c r="I95" s="18" t="str">
        <f>IFERROR(VLOOKUP(Tabela1[[#This Row],[Mat. 3]],'Base de Dados'!$I$5:$J$21,2,0),"")</f>
        <v/>
      </c>
      <c r="J95" s="18" t="str">
        <f>IFERROR(VLOOKUP(Tabela1[[#This Row],[Mat. 4]],'Base de Dados'!$I$5:$J$21,2,0),"")</f>
        <v/>
      </c>
      <c r="K95" s="18" t="str">
        <f>IFERROR(VLOOKUP(Tabela1[[#This Row],[Mat. 1]],'Base de Dados'!$I$2:$M$21,5,0),"")</f>
        <v>3º</v>
      </c>
      <c r="L95" s="18" t="s">
        <v>158</v>
      </c>
      <c r="M95" s="18" t="s">
        <v>313</v>
      </c>
      <c r="N95" s="18" t="s">
        <v>558</v>
      </c>
      <c r="O95" s="18">
        <v>110</v>
      </c>
      <c r="P95" s="18">
        <v>0</v>
      </c>
      <c r="Q95" s="45" t="s">
        <v>397</v>
      </c>
      <c r="R95" s="18" t="s">
        <v>34</v>
      </c>
      <c r="S95" s="18" t="str">
        <f>IFERROR(VLOOKUP(Tabela1[[#This Row],[Cód. Causa]],'Base de Dados'!$O$2:$P$21,2,0),"")</f>
        <v>FALHA EM COMPONENTES ELETRONICO</v>
      </c>
      <c r="T95" s="18" t="str">
        <f>IFERROR(VLOOKUP(Tabela1[[#This Row],[Tag]],'Base de Dados'!$B$2:$C$64,2,0),"")</f>
        <v>PRENSA TERMOFORMAGEM</v>
      </c>
      <c r="U95" s="18" t="str">
        <f>IFERROR(VLOOKUP(Tabela1[[#This Row],[Tag]],'Base de Dados'!V95:W147,2,0),"")</f>
        <v/>
      </c>
      <c r="V95" s="18">
        <f>DAY(Tabela1[[#This Row],[Data]])</f>
        <v>21</v>
      </c>
      <c r="W95" s="18">
        <f>MONTH(Tabela1[[#This Row],[Data]])</f>
        <v>11</v>
      </c>
      <c r="X95" s="18">
        <f>YEAR(Tabela1[[#This Row],[Data]])</f>
        <v>2022</v>
      </c>
    </row>
    <row r="96" spans="1:24" hidden="1" x14ac:dyDescent="0.25">
      <c r="A96" s="22">
        <v>12658</v>
      </c>
      <c r="B96" s="21">
        <v>44886</v>
      </c>
      <c r="C96" s="23">
        <v>444</v>
      </c>
      <c r="D96" s="24"/>
      <c r="E96" s="24"/>
      <c r="F96" s="24"/>
      <c r="G96" s="18" t="str">
        <f>IFERROR(VLOOKUP(Tabela1[[#This Row],[Mat. 1]],'Base de Dados'!$I$5:$J$21,2,0),"")</f>
        <v>EDUARDO</v>
      </c>
      <c r="H96" s="18" t="str">
        <f>IFERROR(VLOOKUP(Tabela1[[#This Row],[Mat. 2]],'Base de Dados'!$I$5:$J$21,2,0),"")</f>
        <v/>
      </c>
      <c r="I96" s="18" t="str">
        <f>IFERROR(VLOOKUP(Tabela1[[#This Row],[Mat. 3]],'Base de Dados'!$I$5:$J$21,2,0),"")</f>
        <v/>
      </c>
      <c r="J96" s="18" t="str">
        <f>IFERROR(VLOOKUP(Tabela1[[#This Row],[Mat. 4]],'Base de Dados'!$I$5:$J$21,2,0),"")</f>
        <v/>
      </c>
      <c r="K96" s="18" t="str">
        <f>IFERROR(VLOOKUP(Tabela1[[#This Row],[Mat. 1]],'Base de Dados'!$I$2:$M$21,5,0),"")</f>
        <v>3º</v>
      </c>
      <c r="L96" s="18" t="s">
        <v>79</v>
      </c>
      <c r="M96" s="18" t="s">
        <v>316</v>
      </c>
      <c r="N96" s="18" t="s">
        <v>558</v>
      </c>
      <c r="O96" s="18">
        <v>40</v>
      </c>
      <c r="P96" s="18">
        <v>0</v>
      </c>
      <c r="Q96" s="45" t="s">
        <v>398</v>
      </c>
      <c r="R96" s="18" t="s">
        <v>116</v>
      </c>
      <c r="S96" s="18" t="str">
        <f>IFERROR(VLOOKUP(Tabela1[[#This Row],[Cód. Causa]],'Base de Dados'!$O$2:$P$21,2,0),"")</f>
        <v xml:space="preserve">EQUIPAMENTO TRABALHANDO COM CARGA EXCESSIVA </v>
      </c>
      <c r="T96" s="18" t="str">
        <f>IFERROR(VLOOKUP(Tabela1[[#This Row],[Tag]],'Base de Dados'!$B$2:$C$64,2,0),"")</f>
        <v>PRENSA COM INJEÇÃO PU INNER 03</v>
      </c>
      <c r="U96" s="18" t="str">
        <f>IFERROR(VLOOKUP(Tabela1[[#This Row],[Tag]],'Base de Dados'!V96:W148,2,0),"")</f>
        <v/>
      </c>
      <c r="V96" s="18">
        <f>DAY(Tabela1[[#This Row],[Data]])</f>
        <v>21</v>
      </c>
      <c r="W96" s="18">
        <f>MONTH(Tabela1[[#This Row],[Data]])</f>
        <v>11</v>
      </c>
      <c r="X96" s="18">
        <f>YEAR(Tabela1[[#This Row],[Data]])</f>
        <v>2022</v>
      </c>
    </row>
    <row r="97" spans="1:24" hidden="1" x14ac:dyDescent="0.25">
      <c r="A97" s="22">
        <v>12659</v>
      </c>
      <c r="B97" s="21">
        <v>44886</v>
      </c>
      <c r="C97" s="23">
        <v>444</v>
      </c>
      <c r="D97" s="24">
        <v>73</v>
      </c>
      <c r="E97" s="24"/>
      <c r="F97" s="24"/>
      <c r="G97" s="18" t="str">
        <f>IFERROR(VLOOKUP(Tabela1[[#This Row],[Mat. 1]],'Base de Dados'!$I$5:$J$21,2,0),"")</f>
        <v>EDUARDO</v>
      </c>
      <c r="H97" s="18" t="str">
        <f>IFERROR(VLOOKUP(Tabela1[[#This Row],[Mat. 2]],'Base de Dados'!$I$5:$J$21,2,0),"")</f>
        <v>VALDEMAR</v>
      </c>
      <c r="I97" s="18" t="str">
        <f>IFERROR(VLOOKUP(Tabela1[[#This Row],[Mat. 3]],'Base de Dados'!$I$5:$J$21,2,0),"")</f>
        <v/>
      </c>
      <c r="J97" s="18" t="str">
        <f>IFERROR(VLOOKUP(Tabela1[[#This Row],[Mat. 4]],'Base de Dados'!$I$5:$J$21,2,0),"")</f>
        <v/>
      </c>
      <c r="K97" s="18" t="str">
        <f>IFERROR(VLOOKUP(Tabela1[[#This Row],[Mat. 1]],'Base de Dados'!$I$2:$M$21,5,0),"")</f>
        <v>3º</v>
      </c>
      <c r="L97" s="18" t="s">
        <v>98</v>
      </c>
      <c r="M97" s="18" t="s">
        <v>316</v>
      </c>
      <c r="N97" s="18" t="s">
        <v>558</v>
      </c>
      <c r="O97" s="18">
        <v>30</v>
      </c>
      <c r="P97" s="18">
        <v>0</v>
      </c>
      <c r="Q97" s="45" t="s">
        <v>359</v>
      </c>
      <c r="R97" s="18" t="s">
        <v>116</v>
      </c>
      <c r="S97" s="18" t="str">
        <f>IFERROR(VLOOKUP(Tabela1[[#This Row],[Cód. Causa]],'Base de Dados'!$O$2:$P$21,2,0),"")</f>
        <v xml:space="preserve">EQUIPAMENTO TRABALHANDO COM CARGA EXCESSIVA </v>
      </c>
      <c r="T97" s="18" t="str">
        <f>IFERROR(VLOOKUP(Tabela1[[#This Row],[Tag]],'Base de Dados'!$B$2:$C$64,2,0),"")</f>
        <v>PRENSA MOLDAGEM 1</v>
      </c>
      <c r="U97" s="18" t="str">
        <f>IFERROR(VLOOKUP(Tabela1[[#This Row],[Tag]],'Base de Dados'!V97:W149,2,0),"")</f>
        <v/>
      </c>
      <c r="V97" s="18">
        <f>DAY(Tabela1[[#This Row],[Data]])</f>
        <v>21</v>
      </c>
      <c r="W97" s="18">
        <f>MONTH(Tabela1[[#This Row],[Data]])</f>
        <v>11</v>
      </c>
      <c r="X97" s="18">
        <f>YEAR(Tabela1[[#This Row],[Data]])</f>
        <v>2022</v>
      </c>
    </row>
    <row r="98" spans="1:24" hidden="1" x14ac:dyDescent="0.25">
      <c r="A98" s="22">
        <v>12660</v>
      </c>
      <c r="B98" s="21">
        <v>44886</v>
      </c>
      <c r="C98" s="23">
        <v>721</v>
      </c>
      <c r="D98" s="24"/>
      <c r="E98" s="24"/>
      <c r="F98" s="24"/>
      <c r="G98" s="18" t="str">
        <f>IFERROR(VLOOKUP(Tabela1[[#This Row],[Mat. 1]],'Base de Dados'!$I$5:$J$21,2,0),"")</f>
        <v>GENILSON</v>
      </c>
      <c r="H98" s="18" t="str">
        <f>IFERROR(VLOOKUP(Tabela1[[#This Row],[Mat. 2]],'Base de Dados'!$I$5:$J$21,2,0),"")</f>
        <v/>
      </c>
      <c r="I98" s="18" t="str">
        <f>IFERROR(VLOOKUP(Tabela1[[#This Row],[Mat. 3]],'Base de Dados'!$I$5:$J$21,2,0),"")</f>
        <v/>
      </c>
      <c r="J98" s="18" t="str">
        <f>IFERROR(VLOOKUP(Tabela1[[#This Row],[Mat. 4]],'Base de Dados'!$I$5:$J$21,2,0),"")</f>
        <v/>
      </c>
      <c r="K98" s="18" t="str">
        <f>IFERROR(VLOOKUP(Tabela1[[#This Row],[Mat. 1]],'Base de Dados'!$I$2:$M$21,5,0),"")</f>
        <v>1º</v>
      </c>
      <c r="L98" s="18" t="s">
        <v>118</v>
      </c>
      <c r="M98" s="18" t="s">
        <v>313</v>
      </c>
      <c r="N98" s="18" t="s">
        <v>558</v>
      </c>
      <c r="O98" s="18">
        <v>48</v>
      </c>
      <c r="P98" s="18">
        <v>0</v>
      </c>
      <c r="Q98" s="45" t="s">
        <v>399</v>
      </c>
      <c r="R98" s="18" t="s">
        <v>34</v>
      </c>
      <c r="S98" s="18" t="str">
        <f>IFERROR(VLOOKUP(Tabela1[[#This Row],[Cód. Causa]],'Base de Dados'!$O$2:$P$21,2,0),"")</f>
        <v>FALHA EM COMPONENTES ELETRONICO</v>
      </c>
      <c r="T98" s="18" t="str">
        <f>IFERROR(VLOOKUP(Tabela1[[#This Row],[Tag]],'Base de Dados'!$B$2:$C$64,2,0),"")</f>
        <v>FORNO DO TETO</v>
      </c>
      <c r="U98" s="18" t="str">
        <f>IFERROR(VLOOKUP(Tabela1[[#This Row],[Tag]],'Base de Dados'!V98:W150,2,0),"")</f>
        <v/>
      </c>
      <c r="V98" s="18">
        <f>DAY(Tabela1[[#This Row],[Data]])</f>
        <v>21</v>
      </c>
      <c r="W98" s="18">
        <f>MONTH(Tabela1[[#This Row],[Data]])</f>
        <v>11</v>
      </c>
      <c r="X98" s="18">
        <f>YEAR(Tabela1[[#This Row],[Data]])</f>
        <v>2022</v>
      </c>
    </row>
    <row r="99" spans="1:24" hidden="1" x14ac:dyDescent="0.25">
      <c r="A99" s="22">
        <v>12980</v>
      </c>
      <c r="B99" s="21">
        <v>44886</v>
      </c>
      <c r="C99" s="23">
        <v>721</v>
      </c>
      <c r="D99" s="24">
        <v>493</v>
      </c>
      <c r="E99" s="24"/>
      <c r="F99" s="24"/>
      <c r="G99" s="18" t="str">
        <f>IFERROR(VLOOKUP(Tabela1[[#This Row],[Mat. 1]],'Base de Dados'!$I$5:$J$21,2,0),"")</f>
        <v>GENILSON</v>
      </c>
      <c r="H99" s="18" t="str">
        <f>IFERROR(VLOOKUP(Tabela1[[#This Row],[Mat. 2]],'Base de Dados'!$I$5:$J$21,2,0),"")</f>
        <v>ELIAS</v>
      </c>
      <c r="I99" s="18" t="str">
        <f>IFERROR(VLOOKUP(Tabela1[[#This Row],[Mat. 3]],'Base de Dados'!$I$5:$J$21,2,0),"")</f>
        <v/>
      </c>
      <c r="J99" s="18" t="str">
        <f>IFERROR(VLOOKUP(Tabela1[[#This Row],[Mat. 4]],'Base de Dados'!$I$5:$J$21,2,0),"")</f>
        <v/>
      </c>
      <c r="K99" s="18" t="str">
        <f>IFERROR(VLOOKUP(Tabela1[[#This Row],[Mat. 1]],'Base de Dados'!$I$2:$M$21,5,0),"")</f>
        <v>1º</v>
      </c>
      <c r="L99" s="18" t="s">
        <v>104</v>
      </c>
      <c r="M99" s="18" t="s">
        <v>316</v>
      </c>
      <c r="N99" s="18" t="s">
        <v>558</v>
      </c>
      <c r="O99" s="18">
        <v>130</v>
      </c>
      <c r="P99" s="18">
        <v>0</v>
      </c>
      <c r="Q99" s="45" t="s">
        <v>359</v>
      </c>
      <c r="R99" s="18" t="s">
        <v>116</v>
      </c>
      <c r="S99" s="18" t="str">
        <f>IFERROR(VLOOKUP(Tabela1[[#This Row],[Cód. Causa]],'Base de Dados'!$O$2:$P$21,2,0),"")</f>
        <v xml:space="preserve">EQUIPAMENTO TRABALHANDO COM CARGA EXCESSIVA </v>
      </c>
      <c r="T99" s="18" t="str">
        <f>IFERROR(VLOOKUP(Tabela1[[#This Row],[Tag]],'Base de Dados'!$B$2:$C$64,2,0),"")</f>
        <v>PRENSA MOLDAGEM 2</v>
      </c>
      <c r="U99" s="18" t="str">
        <f>IFERROR(VLOOKUP(Tabela1[[#This Row],[Tag]],'Base de Dados'!V99:W151,2,0),"")</f>
        <v/>
      </c>
      <c r="V99" s="18">
        <f>DAY(Tabela1[[#This Row],[Data]])</f>
        <v>21</v>
      </c>
      <c r="W99" s="18">
        <f>MONTH(Tabela1[[#This Row],[Data]])</f>
        <v>11</v>
      </c>
      <c r="X99" s="18">
        <f>YEAR(Tabela1[[#This Row],[Data]])</f>
        <v>2022</v>
      </c>
    </row>
    <row r="100" spans="1:24" hidden="1" x14ac:dyDescent="0.25">
      <c r="A100" s="22">
        <v>12981</v>
      </c>
      <c r="B100" s="21">
        <v>44886</v>
      </c>
      <c r="C100" s="23">
        <v>540</v>
      </c>
      <c r="D100" s="24">
        <v>677</v>
      </c>
      <c r="E100" s="24"/>
      <c r="F100" s="24"/>
      <c r="G100" s="18" t="str">
        <f>IFERROR(VLOOKUP(Tabela1[[#This Row],[Mat. 1]],'Base de Dados'!$I$5:$J$21,2,0),"")</f>
        <v>ANDERSON</v>
      </c>
      <c r="H100" s="18" t="str">
        <f>IFERROR(VLOOKUP(Tabela1[[#This Row],[Mat. 2]],'Base de Dados'!$I$5:$J$21,2,0),"")</f>
        <v>RAFAEL</v>
      </c>
      <c r="I100" s="18" t="str">
        <f>IFERROR(VLOOKUP(Tabela1[[#This Row],[Mat. 3]],'Base de Dados'!$I$5:$J$21,2,0),"")</f>
        <v/>
      </c>
      <c r="J100" s="18" t="str">
        <f>IFERROR(VLOOKUP(Tabela1[[#This Row],[Mat. 4]],'Base de Dados'!$I$5:$J$21,2,0),"")</f>
        <v/>
      </c>
      <c r="K100" s="18" t="str">
        <f>IFERROR(VLOOKUP(Tabela1[[#This Row],[Mat. 1]],'Base de Dados'!$I$2:$M$21,5,0),"")</f>
        <v>2º</v>
      </c>
      <c r="L100" s="18" t="s">
        <v>400</v>
      </c>
      <c r="M100" s="18" t="s">
        <v>316</v>
      </c>
      <c r="N100" s="18" t="s">
        <v>558</v>
      </c>
      <c r="O100" s="18">
        <v>21</v>
      </c>
      <c r="P100" s="18">
        <v>0</v>
      </c>
      <c r="Q100" s="45" t="s">
        <v>401</v>
      </c>
      <c r="R100" s="18" t="s">
        <v>116</v>
      </c>
      <c r="S100" s="18" t="str">
        <f>IFERROR(VLOOKUP(Tabela1[[#This Row],[Cód. Causa]],'Base de Dados'!$O$2:$P$21,2,0),"")</f>
        <v xml:space="preserve">EQUIPAMENTO TRABALHANDO COM CARGA EXCESSIVA </v>
      </c>
      <c r="T100" s="18" t="str">
        <f>IFERROR(VLOOKUP(Tabela1[[#This Row],[Tag]],'Base de Dados'!$B$2:$C$64,2,0),"")</f>
        <v/>
      </c>
      <c r="U100" s="18" t="str">
        <f>IFERROR(VLOOKUP(Tabela1[[#This Row],[Tag]],'Base de Dados'!V100:W152,2,0),"")</f>
        <v/>
      </c>
      <c r="V100" s="18">
        <f>DAY(Tabela1[[#This Row],[Data]])</f>
        <v>21</v>
      </c>
      <c r="W100" s="18">
        <f>MONTH(Tabela1[[#This Row],[Data]])</f>
        <v>11</v>
      </c>
      <c r="X100" s="18">
        <f>YEAR(Tabela1[[#This Row],[Data]])</f>
        <v>2022</v>
      </c>
    </row>
    <row r="101" spans="1:24" hidden="1" x14ac:dyDescent="0.25">
      <c r="A101" s="22">
        <v>13009</v>
      </c>
      <c r="B101" s="21">
        <v>44886</v>
      </c>
      <c r="C101" s="23">
        <v>540</v>
      </c>
      <c r="D101" s="24"/>
      <c r="E101" s="24"/>
      <c r="F101" s="24"/>
      <c r="G101" s="18" t="str">
        <f>IFERROR(VLOOKUP(Tabela1[[#This Row],[Mat. 1]],'Base de Dados'!$I$5:$J$21,2,0),"")</f>
        <v>ANDERSON</v>
      </c>
      <c r="H101" s="18" t="str">
        <f>IFERROR(VLOOKUP(Tabela1[[#This Row],[Mat. 2]],'Base de Dados'!$I$5:$J$21,2,0),"")</f>
        <v/>
      </c>
      <c r="I101" s="18" t="str">
        <f>IFERROR(VLOOKUP(Tabela1[[#This Row],[Mat. 3]],'Base de Dados'!$I$5:$J$21,2,0),"")</f>
        <v/>
      </c>
      <c r="J101" s="18" t="str">
        <f>IFERROR(VLOOKUP(Tabela1[[#This Row],[Mat. 4]],'Base de Dados'!$I$5:$J$21,2,0),"")</f>
        <v/>
      </c>
      <c r="K101" s="18" t="str">
        <f>IFERROR(VLOOKUP(Tabela1[[#This Row],[Mat. 1]],'Base de Dados'!$I$2:$M$21,5,0),"")</f>
        <v>2º</v>
      </c>
      <c r="L101" s="18" t="s">
        <v>363</v>
      </c>
      <c r="M101" s="18" t="s">
        <v>316</v>
      </c>
      <c r="N101" s="18" t="s">
        <v>558</v>
      </c>
      <c r="O101" s="18">
        <v>12</v>
      </c>
      <c r="P101" s="18">
        <v>0</v>
      </c>
      <c r="Q101" s="45" t="s">
        <v>402</v>
      </c>
      <c r="R101" s="18" t="s">
        <v>116</v>
      </c>
      <c r="S101" s="18" t="str">
        <f>IFERROR(VLOOKUP(Tabela1[[#This Row],[Cód. Causa]],'Base de Dados'!$O$2:$P$21,2,0),"")</f>
        <v xml:space="preserve">EQUIPAMENTO TRABALHANDO COM CARGA EXCESSIVA </v>
      </c>
      <c r="T101" s="18" t="str">
        <f>IFERROR(VLOOKUP(Tabela1[[#This Row],[Tag]],'Base de Dados'!$B$2:$C$64,2,0),"")</f>
        <v/>
      </c>
      <c r="U101" s="18" t="str">
        <f>IFERROR(VLOOKUP(Tabela1[[#This Row],[Tag]],'Base de Dados'!V101:W153,2,0),"")</f>
        <v/>
      </c>
      <c r="V101" s="18">
        <f>DAY(Tabela1[[#This Row],[Data]])</f>
        <v>21</v>
      </c>
      <c r="W101" s="18">
        <f>MONTH(Tabela1[[#This Row],[Data]])</f>
        <v>11</v>
      </c>
      <c r="X101" s="18">
        <f>YEAR(Tabela1[[#This Row],[Data]])</f>
        <v>2022</v>
      </c>
    </row>
    <row r="102" spans="1:24" hidden="1" x14ac:dyDescent="0.25">
      <c r="A102" s="22">
        <v>13051</v>
      </c>
      <c r="B102" s="21">
        <v>44886</v>
      </c>
      <c r="C102" s="23">
        <v>721</v>
      </c>
      <c r="D102" s="24"/>
      <c r="E102" s="24"/>
      <c r="F102" s="24"/>
      <c r="G102" s="18" t="str">
        <f>IFERROR(VLOOKUP(Tabela1[[#This Row],[Mat. 1]],'Base de Dados'!$I$5:$J$21,2,0),"")</f>
        <v>GENILSON</v>
      </c>
      <c r="H102" s="18" t="str">
        <f>IFERROR(VLOOKUP(Tabela1[[#This Row],[Mat. 2]],'Base de Dados'!$I$5:$J$21,2,0),"")</f>
        <v/>
      </c>
      <c r="I102" s="18" t="str">
        <f>IFERROR(VLOOKUP(Tabela1[[#This Row],[Mat. 3]],'Base de Dados'!$I$5:$J$21,2,0),"")</f>
        <v/>
      </c>
      <c r="J102" s="18" t="str">
        <f>IFERROR(VLOOKUP(Tabela1[[#This Row],[Mat. 4]],'Base de Dados'!$I$5:$J$21,2,0),"")</f>
        <v/>
      </c>
      <c r="K102" s="18" t="str">
        <f>IFERROR(VLOOKUP(Tabela1[[#This Row],[Mat. 1]],'Base de Dados'!$I$2:$M$21,5,0),"")</f>
        <v>1º</v>
      </c>
      <c r="L102" s="18" t="s">
        <v>73</v>
      </c>
      <c r="M102" s="18" t="s">
        <v>316</v>
      </c>
      <c r="N102" s="18" t="s">
        <v>558</v>
      </c>
      <c r="O102" s="18">
        <v>60</v>
      </c>
      <c r="P102" s="18">
        <v>0</v>
      </c>
      <c r="Q102" s="45" t="s">
        <v>403</v>
      </c>
      <c r="R102" s="18" t="s">
        <v>116</v>
      </c>
      <c r="S102" s="18" t="str">
        <f>IFERROR(VLOOKUP(Tabela1[[#This Row],[Cód. Causa]],'Base de Dados'!$O$2:$P$21,2,0),"")</f>
        <v xml:space="preserve">EQUIPAMENTO TRABALHANDO COM CARGA EXCESSIVA </v>
      </c>
      <c r="T102" s="18" t="str">
        <f>IFERROR(VLOOKUP(Tabela1[[#This Row],[Tag]],'Base de Dados'!$B$2:$C$64,2,0),"")</f>
        <v>PRENSA COM INJEÇÃO PU INNER 02</v>
      </c>
      <c r="U102" s="18" t="str">
        <f>IFERROR(VLOOKUP(Tabela1[[#This Row],[Tag]],'Base de Dados'!V102:W154,2,0),"")</f>
        <v/>
      </c>
      <c r="V102" s="18">
        <f>DAY(Tabela1[[#This Row],[Data]])</f>
        <v>21</v>
      </c>
      <c r="W102" s="18">
        <f>MONTH(Tabela1[[#This Row],[Data]])</f>
        <v>11</v>
      </c>
      <c r="X102" s="18">
        <f>YEAR(Tabela1[[#This Row],[Data]])</f>
        <v>2022</v>
      </c>
    </row>
    <row r="103" spans="1:24" hidden="1" x14ac:dyDescent="0.25">
      <c r="A103" s="22">
        <v>13053</v>
      </c>
      <c r="B103" s="21">
        <v>44886</v>
      </c>
      <c r="C103" s="23">
        <v>248</v>
      </c>
      <c r="D103" s="24">
        <v>267</v>
      </c>
      <c r="E103" s="24"/>
      <c r="F103" s="24"/>
      <c r="G103" s="18" t="str">
        <f>IFERROR(VLOOKUP(Tabela1[[#This Row],[Mat. 1]],'Base de Dados'!$I$5:$J$21,2,0),"")</f>
        <v>RUIGUENS</v>
      </c>
      <c r="H103" s="18" t="str">
        <f>IFERROR(VLOOKUP(Tabela1[[#This Row],[Mat. 2]],'Base de Dados'!$I$5:$J$21,2,0),"")</f>
        <v/>
      </c>
      <c r="I103" s="18" t="str">
        <f>IFERROR(VLOOKUP(Tabela1[[#This Row],[Mat. 3]],'Base de Dados'!$I$5:$J$21,2,0),"")</f>
        <v/>
      </c>
      <c r="J103" s="18" t="str">
        <f>IFERROR(VLOOKUP(Tabela1[[#This Row],[Mat. 4]],'Base de Dados'!$I$5:$J$21,2,0),"")</f>
        <v/>
      </c>
      <c r="K103" s="18" t="str">
        <f>IFERROR(VLOOKUP(Tabela1[[#This Row],[Mat. 1]],'Base de Dados'!$I$2:$M$21,5,0),"")</f>
        <v>2º</v>
      </c>
      <c r="L103" s="18" t="s">
        <v>73</v>
      </c>
      <c r="M103" s="18" t="s">
        <v>316</v>
      </c>
      <c r="N103" s="18" t="s">
        <v>558</v>
      </c>
      <c r="O103" s="18">
        <v>8</v>
      </c>
      <c r="P103" s="18">
        <v>0</v>
      </c>
      <c r="Q103" s="45" t="s">
        <v>404</v>
      </c>
      <c r="R103" s="18" t="s">
        <v>116</v>
      </c>
      <c r="S103" s="18" t="str">
        <f>IFERROR(VLOOKUP(Tabela1[[#This Row],[Cód. Causa]],'Base de Dados'!$O$2:$P$21,2,0),"")</f>
        <v xml:space="preserve">EQUIPAMENTO TRABALHANDO COM CARGA EXCESSIVA </v>
      </c>
      <c r="T103" s="18" t="str">
        <f>IFERROR(VLOOKUP(Tabela1[[#This Row],[Tag]],'Base de Dados'!$B$2:$C$64,2,0),"")</f>
        <v>PRENSA COM INJEÇÃO PU INNER 02</v>
      </c>
      <c r="U103" s="18" t="str">
        <f>IFERROR(VLOOKUP(Tabela1[[#This Row],[Tag]],'Base de Dados'!V103:W155,2,0),"")</f>
        <v/>
      </c>
      <c r="V103" s="18">
        <f>DAY(Tabela1[[#This Row],[Data]])</f>
        <v>21</v>
      </c>
      <c r="W103" s="18">
        <f>MONTH(Tabela1[[#This Row],[Data]])</f>
        <v>11</v>
      </c>
      <c r="X103" s="18">
        <f>YEAR(Tabela1[[#This Row],[Data]])</f>
        <v>2022</v>
      </c>
    </row>
    <row r="104" spans="1:24" hidden="1" x14ac:dyDescent="0.25">
      <c r="A104" s="22">
        <v>13103</v>
      </c>
      <c r="B104" s="21">
        <v>44886</v>
      </c>
      <c r="C104" s="23">
        <v>185</v>
      </c>
      <c r="D104" s="24"/>
      <c r="E104" s="24"/>
      <c r="F104" s="24"/>
      <c r="G104" s="18" t="str">
        <f>IFERROR(VLOOKUP(Tabela1[[#This Row],[Mat. 1]],'Base de Dados'!$I$5:$J$21,2,0),"")</f>
        <v>FELIPE</v>
      </c>
      <c r="H104" s="18" t="str">
        <f>IFERROR(VLOOKUP(Tabela1[[#This Row],[Mat. 2]],'Base de Dados'!$I$5:$J$21,2,0),"")</f>
        <v/>
      </c>
      <c r="I104" s="18" t="str">
        <f>IFERROR(VLOOKUP(Tabela1[[#This Row],[Mat. 3]],'Base de Dados'!$I$5:$J$21,2,0),"")</f>
        <v/>
      </c>
      <c r="J104" s="18" t="str">
        <f>IFERROR(VLOOKUP(Tabela1[[#This Row],[Mat. 4]],'Base de Dados'!$I$5:$J$21,2,0),"")</f>
        <v/>
      </c>
      <c r="K104" s="18" t="str">
        <f>IFERROR(VLOOKUP(Tabela1[[#This Row],[Mat. 1]],'Base de Dados'!$I$2:$M$21,5,0),"")</f>
        <v>1º</v>
      </c>
      <c r="L104" s="18" t="s">
        <v>405</v>
      </c>
      <c r="M104" s="18" t="s">
        <v>316</v>
      </c>
      <c r="N104" s="18" t="s">
        <v>558</v>
      </c>
      <c r="O104" s="18">
        <v>69</v>
      </c>
      <c r="P104" s="18">
        <v>0</v>
      </c>
      <c r="Q104" s="45" t="s">
        <v>401</v>
      </c>
      <c r="R104" s="18" t="s">
        <v>116</v>
      </c>
      <c r="S104" s="18" t="str">
        <f>IFERROR(VLOOKUP(Tabela1[[#This Row],[Cód. Causa]],'Base de Dados'!$O$2:$P$21,2,0),"")</f>
        <v xml:space="preserve">EQUIPAMENTO TRABALHANDO COM CARGA EXCESSIVA </v>
      </c>
      <c r="T104" s="18" t="str">
        <f>IFERROR(VLOOKUP(Tabela1[[#This Row],[Tag]],'Base de Dados'!$B$2:$C$64,2,0),"")</f>
        <v/>
      </c>
      <c r="U104" s="18" t="str">
        <f>IFERROR(VLOOKUP(Tabela1[[#This Row],[Tag]],'Base de Dados'!V104:W156,2,0),"")</f>
        <v/>
      </c>
      <c r="V104" s="18">
        <f>DAY(Tabela1[[#This Row],[Data]])</f>
        <v>21</v>
      </c>
      <c r="W104" s="18">
        <f>MONTH(Tabela1[[#This Row],[Data]])</f>
        <v>11</v>
      </c>
      <c r="X104" s="18">
        <f>YEAR(Tabela1[[#This Row],[Data]])</f>
        <v>2022</v>
      </c>
    </row>
    <row r="105" spans="1:24" hidden="1" x14ac:dyDescent="0.25">
      <c r="A105" s="22">
        <v>13104</v>
      </c>
      <c r="B105" s="21">
        <v>44886</v>
      </c>
      <c r="C105" s="23">
        <v>185</v>
      </c>
      <c r="D105" s="24"/>
      <c r="E105" s="24"/>
      <c r="F105" s="24"/>
      <c r="G105" s="18" t="str">
        <f>IFERROR(VLOOKUP(Tabela1[[#This Row],[Mat. 1]],'Base de Dados'!$I$5:$J$21,2,0),"")</f>
        <v>FELIPE</v>
      </c>
      <c r="H105" s="18" t="str">
        <f>IFERROR(VLOOKUP(Tabela1[[#This Row],[Mat. 2]],'Base de Dados'!$I$5:$J$21,2,0),"")</f>
        <v/>
      </c>
      <c r="I105" s="18" t="str">
        <f>IFERROR(VLOOKUP(Tabela1[[#This Row],[Mat. 3]],'Base de Dados'!$I$5:$J$21,2,0),"")</f>
        <v/>
      </c>
      <c r="J105" s="18" t="str">
        <f>IFERROR(VLOOKUP(Tabela1[[#This Row],[Mat. 4]],'Base de Dados'!$I$5:$J$21,2,0),"")</f>
        <v/>
      </c>
      <c r="K105" s="18" t="str">
        <f>IFERROR(VLOOKUP(Tabela1[[#This Row],[Mat. 1]],'Base de Dados'!$I$2:$M$21,5,0),"")</f>
        <v>1º</v>
      </c>
      <c r="L105" s="18" t="s">
        <v>145</v>
      </c>
      <c r="M105" s="18" t="s">
        <v>316</v>
      </c>
      <c r="N105" s="18" t="s">
        <v>558</v>
      </c>
      <c r="O105" s="18">
        <v>34</v>
      </c>
      <c r="P105" s="18">
        <v>0</v>
      </c>
      <c r="Q105" s="45" t="s">
        <v>406</v>
      </c>
      <c r="R105" s="18" t="s">
        <v>116</v>
      </c>
      <c r="S105" s="18" t="str">
        <f>IFERROR(VLOOKUP(Tabela1[[#This Row],[Cód. Causa]],'Base de Dados'!$O$2:$P$21,2,0),"")</f>
        <v xml:space="preserve">EQUIPAMENTO TRABALHANDO COM CARGA EXCESSIVA </v>
      </c>
      <c r="T105" s="18" t="str">
        <f>IFERROR(VLOOKUP(Tabela1[[#This Row],[Tag]],'Base de Dados'!$B$2:$C$64,2,0),"")</f>
        <v>VIROLA DO TETO 521</v>
      </c>
      <c r="U105" s="18" t="str">
        <f>IFERROR(VLOOKUP(Tabela1[[#This Row],[Tag]],'Base de Dados'!V105:W157,2,0),"")</f>
        <v/>
      </c>
      <c r="V105" s="18">
        <f>DAY(Tabela1[[#This Row],[Data]])</f>
        <v>21</v>
      </c>
      <c r="W105" s="18">
        <f>MONTH(Tabela1[[#This Row],[Data]])</f>
        <v>11</v>
      </c>
      <c r="X105" s="18">
        <f>YEAR(Tabela1[[#This Row],[Data]])</f>
        <v>2022</v>
      </c>
    </row>
    <row r="106" spans="1:24" hidden="1" x14ac:dyDescent="0.25">
      <c r="A106" s="22">
        <v>13105</v>
      </c>
      <c r="B106" s="21">
        <v>44886</v>
      </c>
      <c r="C106" s="23">
        <v>739</v>
      </c>
      <c r="D106" s="24"/>
      <c r="E106" s="24"/>
      <c r="F106" s="24"/>
      <c r="G106" s="18" t="str">
        <f>IFERROR(VLOOKUP(Tabela1[[#This Row],[Mat. 1]],'Base de Dados'!$I$5:$J$21,2,0),"")</f>
        <v>DANILLO</v>
      </c>
      <c r="H106" s="18" t="str">
        <f>IFERROR(VLOOKUP(Tabela1[[#This Row],[Mat. 2]],'Base de Dados'!$I$5:$J$21,2,0),"")</f>
        <v/>
      </c>
      <c r="I106" s="18" t="str">
        <f>IFERROR(VLOOKUP(Tabela1[[#This Row],[Mat. 3]],'Base de Dados'!$I$5:$J$21,2,0),"")</f>
        <v/>
      </c>
      <c r="J106" s="18" t="str">
        <f>IFERROR(VLOOKUP(Tabela1[[#This Row],[Mat. 4]],'Base de Dados'!$I$5:$J$21,2,0),"")</f>
        <v/>
      </c>
      <c r="K106" s="18" t="str">
        <f>IFERROR(VLOOKUP(Tabela1[[#This Row],[Mat. 1]],'Base de Dados'!$I$2:$M$21,5,0),"")</f>
        <v>1º</v>
      </c>
      <c r="L106" s="18" t="s">
        <v>368</v>
      </c>
      <c r="M106" s="18" t="s">
        <v>316</v>
      </c>
      <c r="N106" s="18" t="s">
        <v>558</v>
      </c>
      <c r="O106" s="18">
        <v>80</v>
      </c>
      <c r="P106" s="18">
        <v>0</v>
      </c>
      <c r="Q106" s="45" t="s">
        <v>407</v>
      </c>
      <c r="R106" s="18" t="s">
        <v>116</v>
      </c>
      <c r="S106" s="18" t="str">
        <f>IFERROR(VLOOKUP(Tabela1[[#This Row],[Cód. Causa]],'Base de Dados'!$O$2:$P$21,2,0),"")</f>
        <v xml:space="preserve">EQUIPAMENTO TRABALHANDO COM CARGA EXCESSIVA </v>
      </c>
      <c r="T106" s="18" t="str">
        <f>IFERROR(VLOOKUP(Tabela1[[#This Row],[Tag]],'Base de Dados'!$B$2:$C$64,2,0),"")</f>
        <v/>
      </c>
      <c r="U106" s="18" t="str">
        <f>IFERROR(VLOOKUP(Tabela1[[#This Row],[Tag]],'Base de Dados'!V106:W158,2,0),"")</f>
        <v/>
      </c>
      <c r="V106" s="18">
        <f>DAY(Tabela1[[#This Row],[Data]])</f>
        <v>21</v>
      </c>
      <c r="W106" s="18">
        <f>MONTH(Tabela1[[#This Row],[Data]])</f>
        <v>11</v>
      </c>
      <c r="X106" s="18">
        <f>YEAR(Tabela1[[#This Row],[Data]])</f>
        <v>2022</v>
      </c>
    </row>
    <row r="107" spans="1:24" hidden="1" x14ac:dyDescent="0.25">
      <c r="A107" s="22">
        <v>13106</v>
      </c>
      <c r="B107" s="21">
        <v>44886</v>
      </c>
      <c r="C107" s="23">
        <v>15</v>
      </c>
      <c r="D107" s="24"/>
      <c r="E107" s="24"/>
      <c r="F107" s="24"/>
      <c r="G107" s="18" t="str">
        <f>IFERROR(VLOOKUP(Tabela1[[#This Row],[Mat. 1]],'Base de Dados'!$I$5:$J$21,2,0),"")</f>
        <v>ROBERT</v>
      </c>
      <c r="H107" s="18" t="str">
        <f>IFERROR(VLOOKUP(Tabela1[[#This Row],[Mat. 2]],'Base de Dados'!$I$5:$J$21,2,0),"")</f>
        <v/>
      </c>
      <c r="I107" s="18" t="str">
        <f>IFERROR(VLOOKUP(Tabela1[[#This Row],[Mat. 3]],'Base de Dados'!$I$5:$J$21,2,0),"")</f>
        <v/>
      </c>
      <c r="J107" s="18" t="str">
        <f>IFERROR(VLOOKUP(Tabela1[[#This Row],[Mat. 4]],'Base de Dados'!$I$5:$J$21,2,0),"")</f>
        <v/>
      </c>
      <c r="K107" s="18" t="str">
        <f>IFERROR(VLOOKUP(Tabela1[[#This Row],[Mat. 1]],'Base de Dados'!$I$2:$M$21,5,0),"")</f>
        <v>1º</v>
      </c>
      <c r="L107" s="18" t="s">
        <v>141</v>
      </c>
      <c r="M107" s="18" t="s">
        <v>316</v>
      </c>
      <c r="N107" s="18" t="s">
        <v>558</v>
      </c>
      <c r="O107" s="18">
        <v>20</v>
      </c>
      <c r="P107" s="18">
        <v>0</v>
      </c>
      <c r="Q107" s="45" t="s">
        <v>260</v>
      </c>
      <c r="R107" s="18" t="s">
        <v>116</v>
      </c>
      <c r="S107" s="18" t="str">
        <f>IFERROR(VLOOKUP(Tabela1[[#This Row],[Cód. Causa]],'Base de Dados'!$O$2:$P$21,2,0),"")</f>
        <v xml:space="preserve">EQUIPAMENTO TRABALHANDO COM CARGA EXCESSIVA </v>
      </c>
      <c r="T107" s="18" t="str">
        <f>IFERROR(VLOOKUP(Tabela1[[#This Row],[Tag]],'Base de Dados'!$B$2:$C$64,2,0),"")</f>
        <v>CORTE DO TETO  - WATER JET 2</v>
      </c>
      <c r="U107" s="18" t="str">
        <f>IFERROR(VLOOKUP(Tabela1[[#This Row],[Tag]],'Base de Dados'!V107:W159,2,0),"")</f>
        <v/>
      </c>
      <c r="V107" s="18">
        <f>DAY(Tabela1[[#This Row],[Data]])</f>
        <v>21</v>
      </c>
      <c r="W107" s="18">
        <f>MONTH(Tabela1[[#This Row],[Data]])</f>
        <v>11</v>
      </c>
      <c r="X107" s="18">
        <f>YEAR(Tabela1[[#This Row],[Data]])</f>
        <v>2022</v>
      </c>
    </row>
    <row r="108" spans="1:24" hidden="1" x14ac:dyDescent="0.25">
      <c r="A108" s="22">
        <v>13107</v>
      </c>
      <c r="B108" s="21">
        <v>44886</v>
      </c>
      <c r="C108" s="23">
        <v>631</v>
      </c>
      <c r="D108" s="24">
        <v>267</v>
      </c>
      <c r="E108" s="24"/>
      <c r="F108" s="24"/>
      <c r="G108" s="18" t="str">
        <f>IFERROR(VLOOKUP(Tabela1[[#This Row],[Mat. 1]],'Base de Dados'!$I$5:$J$21,2,0),"")</f>
        <v>JOSINALDO</v>
      </c>
      <c r="H108" s="18" t="str">
        <f>IFERROR(VLOOKUP(Tabela1[[#This Row],[Mat. 2]],'Base de Dados'!$I$5:$J$21,2,0),"")</f>
        <v/>
      </c>
      <c r="I108" s="18" t="str">
        <f>IFERROR(VLOOKUP(Tabela1[[#This Row],[Mat. 3]],'Base de Dados'!$I$5:$J$21,2,0),"")</f>
        <v/>
      </c>
      <c r="J108" s="18" t="str">
        <f>IFERROR(VLOOKUP(Tabela1[[#This Row],[Mat. 4]],'Base de Dados'!$I$5:$J$21,2,0),"")</f>
        <v/>
      </c>
      <c r="K108" s="18" t="str">
        <f>IFERROR(VLOOKUP(Tabela1[[#This Row],[Mat. 1]],'Base de Dados'!$I$2:$M$21,5,0),"")</f>
        <v>2º</v>
      </c>
      <c r="L108" s="18" t="s">
        <v>141</v>
      </c>
      <c r="M108" s="18" t="s">
        <v>316</v>
      </c>
      <c r="N108" s="18" t="s">
        <v>558</v>
      </c>
      <c r="O108" s="18">
        <v>25</v>
      </c>
      <c r="P108" s="18">
        <v>0</v>
      </c>
      <c r="Q108" s="45" t="s">
        <v>408</v>
      </c>
      <c r="R108" s="18" t="s">
        <v>116</v>
      </c>
      <c r="S108" s="18" t="str">
        <f>IFERROR(VLOOKUP(Tabela1[[#This Row],[Cód. Causa]],'Base de Dados'!$O$2:$P$21,2,0),"")</f>
        <v xml:space="preserve">EQUIPAMENTO TRABALHANDO COM CARGA EXCESSIVA </v>
      </c>
      <c r="T108" s="18" t="str">
        <f>IFERROR(VLOOKUP(Tabela1[[#This Row],[Tag]],'Base de Dados'!$B$2:$C$64,2,0),"")</f>
        <v>CORTE DO TETO  - WATER JET 2</v>
      </c>
      <c r="U108" s="18" t="str">
        <f>IFERROR(VLOOKUP(Tabela1[[#This Row],[Tag]],'Base de Dados'!V108:W160,2,0),"")</f>
        <v/>
      </c>
      <c r="V108" s="18">
        <f>DAY(Tabela1[[#This Row],[Data]])</f>
        <v>21</v>
      </c>
      <c r="W108" s="18">
        <f>MONTH(Tabela1[[#This Row],[Data]])</f>
        <v>11</v>
      </c>
      <c r="X108" s="18">
        <f>YEAR(Tabela1[[#This Row],[Data]])</f>
        <v>2022</v>
      </c>
    </row>
    <row r="109" spans="1:24" hidden="1" x14ac:dyDescent="0.25">
      <c r="A109" s="22">
        <v>13108</v>
      </c>
      <c r="B109" s="21">
        <v>44886</v>
      </c>
      <c r="C109" s="23">
        <v>677</v>
      </c>
      <c r="D109" s="24">
        <v>631</v>
      </c>
      <c r="E109" s="24"/>
      <c r="F109" s="24"/>
      <c r="G109" s="18" t="str">
        <f>IFERROR(VLOOKUP(Tabela1[[#This Row],[Mat. 1]],'Base de Dados'!$I$5:$J$21,2,0),"")</f>
        <v>RAFAEL</v>
      </c>
      <c r="H109" s="18" t="str">
        <f>IFERROR(VLOOKUP(Tabela1[[#This Row],[Mat. 2]],'Base de Dados'!$I$5:$J$21,2,0),"")</f>
        <v>JOSINALDO</v>
      </c>
      <c r="I109" s="18" t="str">
        <f>IFERROR(VLOOKUP(Tabela1[[#This Row],[Mat. 3]],'Base de Dados'!$I$5:$J$21,2,0),"")</f>
        <v/>
      </c>
      <c r="J109" s="18" t="str">
        <f>IFERROR(VLOOKUP(Tabela1[[#This Row],[Mat. 4]],'Base de Dados'!$I$5:$J$21,2,0),"")</f>
        <v/>
      </c>
      <c r="K109" s="18" t="str">
        <f>IFERROR(VLOOKUP(Tabela1[[#This Row],[Mat. 1]],'Base de Dados'!$I$2:$M$21,5,0),"")</f>
        <v>2º</v>
      </c>
      <c r="L109" s="18" t="s">
        <v>409</v>
      </c>
      <c r="M109" s="18" t="s">
        <v>316</v>
      </c>
      <c r="N109" s="18" t="s">
        <v>558</v>
      </c>
      <c r="O109" s="18">
        <v>30</v>
      </c>
      <c r="P109" s="18">
        <v>0</v>
      </c>
      <c r="Q109" s="45" t="s">
        <v>410</v>
      </c>
      <c r="R109" s="18" t="s">
        <v>116</v>
      </c>
      <c r="S109" s="18" t="str">
        <f>IFERROR(VLOOKUP(Tabela1[[#This Row],[Cód. Causa]],'Base de Dados'!$O$2:$P$21,2,0),"")</f>
        <v xml:space="preserve">EQUIPAMENTO TRABALHANDO COM CARGA EXCESSIVA </v>
      </c>
      <c r="T109" s="18" t="str">
        <f>IFERROR(VLOOKUP(Tabela1[[#This Row],[Tag]],'Base de Dados'!$B$2:$C$64,2,0),"")</f>
        <v/>
      </c>
      <c r="U109" s="18" t="str">
        <f>IFERROR(VLOOKUP(Tabela1[[#This Row],[Tag]],'Base de Dados'!V109:W161,2,0),"")</f>
        <v/>
      </c>
      <c r="V109" s="18">
        <f>DAY(Tabela1[[#This Row],[Data]])</f>
        <v>21</v>
      </c>
      <c r="W109" s="18">
        <f>MONTH(Tabela1[[#This Row],[Data]])</f>
        <v>11</v>
      </c>
      <c r="X109" s="18">
        <f>YEAR(Tabela1[[#This Row],[Data]])</f>
        <v>2022</v>
      </c>
    </row>
    <row r="110" spans="1:24" hidden="1" x14ac:dyDescent="0.25">
      <c r="A110" s="22">
        <v>13151</v>
      </c>
      <c r="B110" s="21">
        <v>44886</v>
      </c>
      <c r="C110" s="23">
        <v>493</v>
      </c>
      <c r="D110" s="24"/>
      <c r="E110" s="24"/>
      <c r="F110" s="24"/>
      <c r="G110" s="18" t="str">
        <f>IFERROR(VLOOKUP(Tabela1[[#This Row],[Mat. 1]],'Base de Dados'!$I$5:$J$21,2,0),"")</f>
        <v>ELIAS</v>
      </c>
      <c r="H110" s="18" t="str">
        <f>IFERROR(VLOOKUP(Tabela1[[#This Row],[Mat. 2]],'Base de Dados'!$I$5:$J$21,2,0),"")</f>
        <v/>
      </c>
      <c r="I110" s="18" t="str">
        <f>IFERROR(VLOOKUP(Tabela1[[#This Row],[Mat. 3]],'Base de Dados'!$I$5:$J$21,2,0),"")</f>
        <v/>
      </c>
      <c r="J110" s="18" t="str">
        <f>IFERROR(VLOOKUP(Tabela1[[#This Row],[Mat. 4]],'Base de Dados'!$I$5:$J$21,2,0),"")</f>
        <v/>
      </c>
      <c r="K110" s="18" t="str">
        <f>IFERROR(VLOOKUP(Tabela1[[#This Row],[Mat. 1]],'Base de Dados'!$I$2:$M$21,5,0),"")</f>
        <v>1º</v>
      </c>
      <c r="L110" s="18" t="s">
        <v>156</v>
      </c>
      <c r="M110" s="18" t="s">
        <v>316</v>
      </c>
      <c r="N110" s="18" t="s">
        <v>558</v>
      </c>
      <c r="O110" s="18">
        <v>60</v>
      </c>
      <c r="P110" s="18">
        <v>0</v>
      </c>
      <c r="Q110" s="45" t="s">
        <v>411</v>
      </c>
      <c r="R110" s="18" t="s">
        <v>116</v>
      </c>
      <c r="S110" s="18" t="str">
        <f>IFERROR(VLOOKUP(Tabela1[[#This Row],[Cód. Causa]],'Base de Dados'!$O$2:$P$21,2,0),"")</f>
        <v xml:space="preserve">EQUIPAMENTO TRABALHANDO COM CARGA EXCESSIVA </v>
      </c>
      <c r="T110" s="18" t="str">
        <f>IFERROR(VLOOKUP(Tabela1[[#This Row],[Tag]],'Base de Dados'!$B$2:$C$64,2,0),"")</f>
        <v>PRENSA DE ACOPLAGEM TPO</v>
      </c>
      <c r="U110" s="18" t="str">
        <f>IFERROR(VLOOKUP(Tabela1[[#This Row],[Tag]],'Base de Dados'!V110:W162,2,0),"")</f>
        <v/>
      </c>
      <c r="V110" s="18">
        <f>DAY(Tabela1[[#This Row],[Data]])</f>
        <v>21</v>
      </c>
      <c r="W110" s="18">
        <f>MONTH(Tabela1[[#This Row],[Data]])</f>
        <v>11</v>
      </c>
      <c r="X110" s="18">
        <f>YEAR(Tabela1[[#This Row],[Data]])</f>
        <v>2022</v>
      </c>
    </row>
    <row r="111" spans="1:24" hidden="1" x14ac:dyDescent="0.25">
      <c r="A111" s="22">
        <v>13153</v>
      </c>
      <c r="B111" s="21">
        <v>44886</v>
      </c>
      <c r="C111" s="23">
        <v>493</v>
      </c>
      <c r="D111" s="24">
        <v>435</v>
      </c>
      <c r="E111" s="24"/>
      <c r="F111" s="24"/>
      <c r="G111" s="18" t="str">
        <f>IFERROR(VLOOKUP(Tabela1[[#This Row],[Mat. 1]],'Base de Dados'!$I$5:$J$21,2,0),"")</f>
        <v>ELIAS</v>
      </c>
      <c r="H111" s="18" t="str">
        <f>IFERROR(VLOOKUP(Tabela1[[#This Row],[Mat. 2]],'Base de Dados'!$I$5:$J$21,2,0),"")</f>
        <v>SILVIO</v>
      </c>
      <c r="I111" s="18" t="str">
        <f>IFERROR(VLOOKUP(Tabela1[[#This Row],[Mat. 3]],'Base de Dados'!$I$5:$J$21,2,0),"")</f>
        <v/>
      </c>
      <c r="J111" s="18" t="str">
        <f>IFERROR(VLOOKUP(Tabela1[[#This Row],[Mat. 4]],'Base de Dados'!$I$5:$J$21,2,0),"")</f>
        <v/>
      </c>
      <c r="K111" s="18" t="str">
        <f>IFERROR(VLOOKUP(Tabela1[[#This Row],[Mat. 1]],'Base de Dados'!$I$2:$M$21,5,0),"")</f>
        <v>1º</v>
      </c>
      <c r="L111" s="18" t="s">
        <v>179</v>
      </c>
      <c r="M111" s="18" t="s">
        <v>316</v>
      </c>
      <c r="N111" s="18" t="s">
        <v>558</v>
      </c>
      <c r="O111" s="18">
        <v>50</v>
      </c>
      <c r="P111" s="18">
        <v>0</v>
      </c>
      <c r="Q111" s="45" t="s">
        <v>412</v>
      </c>
      <c r="R111" s="18" t="s">
        <v>116</v>
      </c>
      <c r="S111" s="18" t="str">
        <f>IFERROR(VLOOKUP(Tabela1[[#This Row],[Cód. Causa]],'Base de Dados'!$O$2:$P$21,2,0),"")</f>
        <v xml:space="preserve">EQUIPAMENTO TRABALHANDO COM CARGA EXCESSIVA </v>
      </c>
      <c r="T111" s="18" t="str">
        <f>IFERROR(VLOOKUP(Tabela1[[#This Row],[Tag]],'Base de Dados'!$B$2:$C$64,2,0),"")</f>
        <v>PRENSA COM INJEÇÃO PU 2</v>
      </c>
      <c r="U111" s="18" t="str">
        <f>IFERROR(VLOOKUP(Tabela1[[#This Row],[Tag]],'Base de Dados'!V111:W163,2,0),"")</f>
        <v/>
      </c>
      <c r="V111" s="18">
        <f>DAY(Tabela1[[#This Row],[Data]])</f>
        <v>21</v>
      </c>
      <c r="W111" s="18">
        <f>MONTH(Tabela1[[#This Row],[Data]])</f>
        <v>11</v>
      </c>
      <c r="X111" s="18">
        <f>YEAR(Tabela1[[#This Row],[Data]])</f>
        <v>2022</v>
      </c>
    </row>
    <row r="112" spans="1:24" hidden="1" x14ac:dyDescent="0.25">
      <c r="A112" s="22">
        <v>13155</v>
      </c>
      <c r="B112" s="21">
        <v>44886</v>
      </c>
      <c r="C112" s="23">
        <v>435</v>
      </c>
      <c r="D112" s="24"/>
      <c r="E112" s="24"/>
      <c r="F112" s="24"/>
      <c r="G112" s="18" t="str">
        <f>IFERROR(VLOOKUP(Tabela1[[#This Row],[Mat. 1]],'Base de Dados'!$I$5:$J$21,2,0),"")</f>
        <v>SILVIO</v>
      </c>
      <c r="H112" s="18" t="str">
        <f>IFERROR(VLOOKUP(Tabela1[[#This Row],[Mat. 2]],'Base de Dados'!$I$5:$J$21,2,0),"")</f>
        <v/>
      </c>
      <c r="I112" s="18" t="str">
        <f>IFERROR(VLOOKUP(Tabela1[[#This Row],[Mat. 3]],'Base de Dados'!$I$5:$J$21,2,0),"")</f>
        <v/>
      </c>
      <c r="J112" s="18" t="str">
        <f>IFERROR(VLOOKUP(Tabela1[[#This Row],[Mat. 4]],'Base de Dados'!$I$5:$J$21,2,0),"")</f>
        <v/>
      </c>
      <c r="K112" s="18" t="str">
        <f>IFERROR(VLOOKUP(Tabela1[[#This Row],[Mat. 1]],'Base de Dados'!$I$2:$M$21,5,0),"")</f>
        <v>1º</v>
      </c>
      <c r="L112" s="18" t="s">
        <v>168</v>
      </c>
      <c r="M112" s="18" t="s">
        <v>313</v>
      </c>
      <c r="N112" s="18" t="s">
        <v>558</v>
      </c>
      <c r="O112" s="18">
        <v>30</v>
      </c>
      <c r="P112" s="18">
        <v>0</v>
      </c>
      <c r="Q112" s="45" t="s">
        <v>413</v>
      </c>
      <c r="R112" s="18" t="s">
        <v>34</v>
      </c>
      <c r="S112" s="18" t="str">
        <f>IFERROR(VLOOKUP(Tabela1[[#This Row],[Cód. Causa]],'Base de Dados'!$O$2:$P$21,2,0),"")</f>
        <v>FALHA EM COMPONENTES ELETRONICO</v>
      </c>
      <c r="T112" s="18" t="str">
        <f>IFERROR(VLOOKUP(Tabela1[[#This Row],[Tag]],'Base de Dados'!$B$2:$C$64,2,0),"")</f>
        <v>PRENSA CORTE TUNNEL</v>
      </c>
      <c r="U112" s="18" t="str">
        <f>IFERROR(VLOOKUP(Tabela1[[#This Row],[Tag]],'Base de Dados'!V112:W164,2,0),"")</f>
        <v/>
      </c>
      <c r="V112" s="18">
        <f>DAY(Tabela1[[#This Row],[Data]])</f>
        <v>21</v>
      </c>
      <c r="W112" s="18">
        <f>MONTH(Tabela1[[#This Row],[Data]])</f>
        <v>11</v>
      </c>
      <c r="X112" s="18">
        <f>YEAR(Tabela1[[#This Row],[Data]])</f>
        <v>2022</v>
      </c>
    </row>
    <row r="113" spans="1:24" hidden="1" x14ac:dyDescent="0.25">
      <c r="A113" s="22">
        <v>13156</v>
      </c>
      <c r="B113" s="21">
        <v>44886</v>
      </c>
      <c r="C113" s="23">
        <v>15</v>
      </c>
      <c r="D113" s="24"/>
      <c r="E113" s="24"/>
      <c r="F113" s="24"/>
      <c r="G113" s="18" t="str">
        <f>IFERROR(VLOOKUP(Tabela1[[#This Row],[Mat. 1]],'Base de Dados'!$I$5:$J$21,2,0),"")</f>
        <v>ROBERT</v>
      </c>
      <c r="H113" s="18" t="str">
        <f>IFERROR(VLOOKUP(Tabela1[[#This Row],[Mat. 2]],'Base de Dados'!$I$5:$J$21,2,0),"")</f>
        <v/>
      </c>
      <c r="I113" s="18" t="str">
        <f>IFERROR(VLOOKUP(Tabela1[[#This Row],[Mat. 3]],'Base de Dados'!$I$5:$J$21,2,0),"")</f>
        <v/>
      </c>
      <c r="J113" s="18" t="str">
        <f>IFERROR(VLOOKUP(Tabela1[[#This Row],[Mat. 4]],'Base de Dados'!$I$5:$J$21,2,0),"")</f>
        <v/>
      </c>
      <c r="K113" s="18" t="str">
        <f>IFERROR(VLOOKUP(Tabela1[[#This Row],[Mat. 1]],'Base de Dados'!$I$2:$M$21,5,0),"")</f>
        <v>1º</v>
      </c>
      <c r="L113" s="18" t="s">
        <v>185</v>
      </c>
      <c r="M113" s="18" t="s">
        <v>316</v>
      </c>
      <c r="N113" s="18" t="s">
        <v>558</v>
      </c>
      <c r="O113" s="18">
        <v>20</v>
      </c>
      <c r="P113" s="18">
        <v>0</v>
      </c>
      <c r="Q113" s="45" t="s">
        <v>414</v>
      </c>
      <c r="R113" s="18" t="s">
        <v>116</v>
      </c>
      <c r="S113" s="18" t="str">
        <f>IFERROR(VLOOKUP(Tabela1[[#This Row],[Cód. Causa]],'Base de Dados'!$O$2:$P$21,2,0),"")</f>
        <v xml:space="preserve">EQUIPAMENTO TRABALHANDO COM CARGA EXCESSIVA </v>
      </c>
      <c r="T113" s="18" t="str">
        <f>IFERROR(VLOOKUP(Tabela1[[#This Row],[Tag]],'Base de Dados'!$B$2:$C$64,2,0),"")</f>
        <v>CORTE DO CARPETE- WATER JET</v>
      </c>
      <c r="U113" s="18" t="str">
        <f>IFERROR(VLOOKUP(Tabela1[[#This Row],[Tag]],'Base de Dados'!V113:W165,2,0),"")</f>
        <v/>
      </c>
      <c r="V113" s="18">
        <f>DAY(Tabela1[[#This Row],[Data]])</f>
        <v>21</v>
      </c>
      <c r="W113" s="18">
        <f>MONTH(Tabela1[[#This Row],[Data]])</f>
        <v>11</v>
      </c>
      <c r="X113" s="18">
        <f>YEAR(Tabela1[[#This Row],[Data]])</f>
        <v>2022</v>
      </c>
    </row>
    <row r="114" spans="1:24" hidden="1" x14ac:dyDescent="0.25">
      <c r="A114" s="22">
        <v>13157</v>
      </c>
      <c r="B114" s="21">
        <v>44886</v>
      </c>
      <c r="C114" s="23">
        <v>631</v>
      </c>
      <c r="D114" s="24">
        <v>267</v>
      </c>
      <c r="E114" s="24"/>
      <c r="F114" s="24"/>
      <c r="G114" s="18" t="str">
        <f>IFERROR(VLOOKUP(Tabela1[[#This Row],[Mat. 1]],'Base de Dados'!$I$5:$J$21,2,0),"")</f>
        <v>JOSINALDO</v>
      </c>
      <c r="H114" s="18" t="str">
        <f>IFERROR(VLOOKUP(Tabela1[[#This Row],[Mat. 2]],'Base de Dados'!$I$5:$J$21,2,0),"")</f>
        <v/>
      </c>
      <c r="I114" s="18" t="str">
        <f>IFERROR(VLOOKUP(Tabela1[[#This Row],[Mat. 3]],'Base de Dados'!$I$5:$J$21,2,0),"")</f>
        <v/>
      </c>
      <c r="J114" s="18" t="str">
        <f>IFERROR(VLOOKUP(Tabela1[[#This Row],[Mat. 4]],'Base de Dados'!$I$5:$J$21,2,0),"")</f>
        <v/>
      </c>
      <c r="K114" s="18" t="str">
        <f>IFERROR(VLOOKUP(Tabela1[[#This Row],[Mat. 1]],'Base de Dados'!$I$2:$M$21,5,0),"")</f>
        <v>2º</v>
      </c>
      <c r="L114" s="18" t="s">
        <v>175</v>
      </c>
      <c r="M114" s="18" t="s">
        <v>313</v>
      </c>
      <c r="N114" s="18" t="s">
        <v>558</v>
      </c>
      <c r="O114" s="18">
        <v>10</v>
      </c>
      <c r="P114" s="18">
        <v>0</v>
      </c>
      <c r="Q114" s="45" t="s">
        <v>358</v>
      </c>
      <c r="R114" s="18" t="s">
        <v>110</v>
      </c>
      <c r="S114" s="18" t="str">
        <f>IFERROR(VLOOKUP(Tabela1[[#This Row],[Cód. Causa]],'Base de Dados'!$O$2:$P$21,2,0),"")</f>
        <v>NÃO OBSERVAÇÃO DOS PARÂMETROS DE FUNCIONAMENTO DO EQUIPAMENTO</v>
      </c>
      <c r="T114" s="18" t="str">
        <f>IFERROR(VLOOKUP(Tabela1[[#This Row],[Tag]],'Base de Dados'!$B$2:$C$64,2,0),"")</f>
        <v>PRENSA SOLDA BATE PÉ</v>
      </c>
      <c r="U114" s="18" t="str">
        <f>IFERROR(VLOOKUP(Tabela1[[#This Row],[Tag]],'Base de Dados'!V114:W166,2,0),"")</f>
        <v/>
      </c>
      <c r="V114" s="18">
        <f>DAY(Tabela1[[#This Row],[Data]])</f>
        <v>21</v>
      </c>
      <c r="W114" s="18">
        <f>MONTH(Tabela1[[#This Row],[Data]])</f>
        <v>11</v>
      </c>
      <c r="X114" s="18">
        <f>YEAR(Tabela1[[#This Row],[Data]])</f>
        <v>2022</v>
      </c>
    </row>
    <row r="115" spans="1:24" hidden="1" x14ac:dyDescent="0.25">
      <c r="A115" s="22">
        <v>13951</v>
      </c>
      <c r="B115" s="21">
        <v>44886</v>
      </c>
      <c r="C115" s="23">
        <v>248</v>
      </c>
      <c r="D115" s="24">
        <v>677</v>
      </c>
      <c r="E115" s="24"/>
      <c r="F115" s="24"/>
      <c r="G115" s="18" t="str">
        <f>IFERROR(VLOOKUP(Tabela1[[#This Row],[Mat. 1]],'Base de Dados'!$I$5:$J$21,2,0),"")</f>
        <v>RUIGUENS</v>
      </c>
      <c r="H115" s="18" t="str">
        <f>IFERROR(VLOOKUP(Tabela1[[#This Row],[Mat. 2]],'Base de Dados'!$I$5:$J$21,2,0),"")</f>
        <v>RAFAEL</v>
      </c>
      <c r="I115" s="18" t="str">
        <f>IFERROR(VLOOKUP(Tabela1[[#This Row],[Mat. 3]],'Base de Dados'!$I$5:$J$21,2,0),"")</f>
        <v/>
      </c>
      <c r="J115" s="18" t="str">
        <f>IFERROR(VLOOKUP(Tabela1[[#This Row],[Mat. 4]],'Base de Dados'!$I$5:$J$21,2,0),"")</f>
        <v/>
      </c>
      <c r="K115" s="18" t="str">
        <f>IFERROR(VLOOKUP(Tabela1[[#This Row],[Mat. 1]],'Base de Dados'!$I$2:$M$21,5,0),"")</f>
        <v>2º</v>
      </c>
      <c r="L115" s="18" t="s">
        <v>47</v>
      </c>
      <c r="M115" s="18" t="s">
        <v>316</v>
      </c>
      <c r="N115" s="18" t="s">
        <v>558</v>
      </c>
      <c r="O115" s="18">
        <v>20</v>
      </c>
      <c r="P115" s="18">
        <v>0</v>
      </c>
      <c r="Q115" s="45" t="s">
        <v>415</v>
      </c>
      <c r="R115" s="18" t="s">
        <v>116</v>
      </c>
      <c r="S115" s="18" t="str">
        <f>IFERROR(VLOOKUP(Tabela1[[#This Row],[Cód. Causa]],'Base de Dados'!$O$2:$P$21,2,0),"")</f>
        <v xml:space="preserve">EQUIPAMENTO TRABALHANDO COM CARGA EXCESSIVA </v>
      </c>
      <c r="T115" s="18" t="str">
        <f>IFERROR(VLOOKUP(Tabela1[[#This Row],[Tag]],'Base de Dados'!$B$2:$C$64,2,0),"")</f>
        <v>PRENSA MOLDAGEM INNER DASH</v>
      </c>
      <c r="U115" s="18" t="str">
        <f>IFERROR(VLOOKUP(Tabela1[[#This Row],[Tag]],'Base de Dados'!V115:W167,2,0),"")</f>
        <v/>
      </c>
      <c r="V115" s="18">
        <f>DAY(Tabela1[[#This Row],[Data]])</f>
        <v>21</v>
      </c>
      <c r="W115" s="18">
        <f>MONTH(Tabela1[[#This Row],[Data]])</f>
        <v>11</v>
      </c>
      <c r="X115" s="18">
        <f>YEAR(Tabela1[[#This Row],[Data]])</f>
        <v>2022</v>
      </c>
    </row>
    <row r="116" spans="1:24" hidden="1" x14ac:dyDescent="0.25">
      <c r="A116" s="22">
        <v>15036</v>
      </c>
      <c r="B116" s="21">
        <v>44886</v>
      </c>
      <c r="C116" s="23">
        <v>782</v>
      </c>
      <c r="D116" s="24"/>
      <c r="E116" s="24"/>
      <c r="F116" s="24"/>
      <c r="G116" s="18" t="str">
        <f>IFERROR(VLOOKUP(Tabela1[[#This Row],[Mat. 1]],'Base de Dados'!$I$5:$J$21,2,0),"")</f>
        <v>JOSÉ</v>
      </c>
      <c r="H116" s="18" t="str">
        <f>IFERROR(VLOOKUP(Tabela1[[#This Row],[Mat. 2]],'Base de Dados'!$I$5:$J$21,2,0),"")</f>
        <v/>
      </c>
      <c r="I116" s="18" t="str">
        <f>IFERROR(VLOOKUP(Tabela1[[#This Row],[Mat. 3]],'Base de Dados'!$I$5:$J$21,2,0),"")</f>
        <v/>
      </c>
      <c r="J116" s="18" t="str">
        <f>IFERROR(VLOOKUP(Tabela1[[#This Row],[Mat. 4]],'Base de Dados'!$I$5:$J$21,2,0),"")</f>
        <v/>
      </c>
      <c r="K116" s="18" t="str">
        <f>IFERROR(VLOOKUP(Tabela1[[#This Row],[Mat. 1]],'Base de Dados'!$I$2:$M$21,5,0),"")</f>
        <v>3º</v>
      </c>
      <c r="L116" s="18" t="s">
        <v>175</v>
      </c>
      <c r="M116" s="18" t="s">
        <v>313</v>
      </c>
      <c r="N116" s="18" t="s">
        <v>558</v>
      </c>
      <c r="O116" s="18">
        <v>10</v>
      </c>
      <c r="P116" s="18">
        <v>0</v>
      </c>
      <c r="Q116" s="45" t="s">
        <v>358</v>
      </c>
      <c r="R116" s="18" t="s">
        <v>110</v>
      </c>
      <c r="S116" s="18" t="str">
        <f>IFERROR(VLOOKUP(Tabela1[[#This Row],[Cód. Causa]],'Base de Dados'!$O$2:$P$21,2,0),"")</f>
        <v>NÃO OBSERVAÇÃO DOS PARÂMETROS DE FUNCIONAMENTO DO EQUIPAMENTO</v>
      </c>
      <c r="T116" s="18" t="str">
        <f>IFERROR(VLOOKUP(Tabela1[[#This Row],[Tag]],'Base de Dados'!$B$2:$C$64,2,0),"")</f>
        <v>PRENSA SOLDA BATE PÉ</v>
      </c>
      <c r="U116" s="18" t="str">
        <f>IFERROR(VLOOKUP(Tabela1[[#This Row],[Tag]],'Base de Dados'!V116:W168,2,0),"")</f>
        <v/>
      </c>
      <c r="V116" s="18">
        <f>DAY(Tabela1[[#This Row],[Data]])</f>
        <v>21</v>
      </c>
      <c r="W116" s="18">
        <f>MONTH(Tabela1[[#This Row],[Data]])</f>
        <v>11</v>
      </c>
      <c r="X116" s="18">
        <f>YEAR(Tabela1[[#This Row],[Data]])</f>
        <v>2022</v>
      </c>
    </row>
    <row r="117" spans="1:24" hidden="1" x14ac:dyDescent="0.25">
      <c r="A117" s="22">
        <v>15037</v>
      </c>
      <c r="B117" s="21">
        <v>44886</v>
      </c>
      <c r="C117" s="23">
        <v>73</v>
      </c>
      <c r="D117" s="24"/>
      <c r="E117" s="24"/>
      <c r="F117" s="24"/>
      <c r="G117" s="18" t="str">
        <f>IFERROR(VLOOKUP(Tabela1[[#This Row],[Mat. 1]],'Base de Dados'!$I$5:$J$21,2,0),"")</f>
        <v>VALDEMAR</v>
      </c>
      <c r="H117" s="18" t="str">
        <f>IFERROR(VLOOKUP(Tabela1[[#This Row],[Mat. 2]],'Base de Dados'!$I$5:$J$21,2,0),"")</f>
        <v/>
      </c>
      <c r="I117" s="18" t="str">
        <f>IFERROR(VLOOKUP(Tabela1[[#This Row],[Mat. 3]],'Base de Dados'!$I$5:$J$21,2,0),"")</f>
        <v/>
      </c>
      <c r="J117" s="18" t="str">
        <f>IFERROR(VLOOKUP(Tabela1[[#This Row],[Mat. 4]],'Base de Dados'!$I$5:$J$21,2,0),"")</f>
        <v/>
      </c>
      <c r="K117" s="18" t="str">
        <f>IFERROR(VLOOKUP(Tabela1[[#This Row],[Mat. 1]],'Base de Dados'!$I$2:$M$21,5,0),"")</f>
        <v>3º</v>
      </c>
      <c r="L117" s="18" t="s">
        <v>185</v>
      </c>
      <c r="M117" s="18" t="s">
        <v>313</v>
      </c>
      <c r="N117" s="18" t="s">
        <v>558</v>
      </c>
      <c r="O117" s="18">
        <v>20</v>
      </c>
      <c r="P117" s="18">
        <v>0</v>
      </c>
      <c r="Q117" s="45" t="s">
        <v>416</v>
      </c>
      <c r="R117" s="18" t="s">
        <v>116</v>
      </c>
      <c r="S117" s="18" t="str">
        <f>IFERROR(VLOOKUP(Tabela1[[#This Row],[Cód. Causa]],'Base de Dados'!$O$2:$P$21,2,0),"")</f>
        <v xml:space="preserve">EQUIPAMENTO TRABALHANDO COM CARGA EXCESSIVA </v>
      </c>
      <c r="T117" s="18" t="str">
        <f>IFERROR(VLOOKUP(Tabela1[[#This Row],[Tag]],'Base de Dados'!$B$2:$C$64,2,0),"")</f>
        <v>CORTE DO CARPETE- WATER JET</v>
      </c>
      <c r="U117" s="18" t="str">
        <f>IFERROR(VLOOKUP(Tabela1[[#This Row],[Tag]],'Base de Dados'!V117:W169,2,0),"")</f>
        <v/>
      </c>
      <c r="V117" s="18">
        <f>DAY(Tabela1[[#This Row],[Data]])</f>
        <v>21</v>
      </c>
      <c r="W117" s="18">
        <f>MONTH(Tabela1[[#This Row],[Data]])</f>
        <v>11</v>
      </c>
      <c r="X117" s="18">
        <f>YEAR(Tabela1[[#This Row],[Data]])</f>
        <v>2022</v>
      </c>
    </row>
    <row r="118" spans="1:24" hidden="1" x14ac:dyDescent="0.25">
      <c r="A118" s="22">
        <v>13007</v>
      </c>
      <c r="B118" s="21">
        <v>44887</v>
      </c>
      <c r="C118" s="23">
        <v>877</v>
      </c>
      <c r="D118" s="24">
        <v>435</v>
      </c>
      <c r="E118" s="24"/>
      <c r="F118" s="24"/>
      <c r="G118" s="18" t="str">
        <f>IFERROR(VLOOKUP(Tabela1[[#This Row],[Mat. 1]],'Base de Dados'!$I$5:$J$21,2,0),"")</f>
        <v>RONALDO</v>
      </c>
      <c r="H118" s="18" t="str">
        <f>IFERROR(VLOOKUP(Tabela1[[#This Row],[Mat. 2]],'Base de Dados'!$I$5:$J$21,2,0),"")</f>
        <v>SILVIO</v>
      </c>
      <c r="I118" s="18" t="str">
        <f>IFERROR(VLOOKUP(Tabela1[[#This Row],[Mat. 3]],'Base de Dados'!$I$5:$J$21,2,0),"")</f>
        <v/>
      </c>
      <c r="J118" s="18" t="str">
        <f>IFERROR(VLOOKUP(Tabela1[[#This Row],[Mat. 4]],'Base de Dados'!$I$5:$J$21,2,0),"")</f>
        <v/>
      </c>
      <c r="K118" s="18" t="str">
        <f>IFERROR(VLOOKUP(Tabela1[[#This Row],[Mat. 1]],'Base de Dados'!$I$2:$M$21,5,0),"")</f>
        <v>3º</v>
      </c>
      <c r="L118" s="18" t="s">
        <v>112</v>
      </c>
      <c r="M118" s="18" t="s">
        <v>313</v>
      </c>
      <c r="N118" s="18" t="s">
        <v>558</v>
      </c>
      <c r="O118" s="18">
        <v>40</v>
      </c>
      <c r="P118" s="18">
        <v>0</v>
      </c>
      <c r="Q118" s="45" t="s">
        <v>417</v>
      </c>
      <c r="R118" s="18" t="s">
        <v>34</v>
      </c>
      <c r="S118" s="18" t="str">
        <f>IFERROR(VLOOKUP(Tabela1[[#This Row],[Cód. Causa]],'Base de Dados'!$O$2:$P$21,2,0),"")</f>
        <v>FALHA EM COMPONENTES ELETRONICO</v>
      </c>
      <c r="T118" s="18" t="str">
        <f>IFERROR(VLOOKUP(Tabela1[[#This Row],[Tag]],'Base de Dados'!$B$2:$C$64,2,0),"")</f>
        <v>ROBÔ ABB APLIC. COLA DO TETO</v>
      </c>
      <c r="U118" s="18" t="str">
        <f>IFERROR(VLOOKUP(Tabela1[[#This Row],[Tag]],'Base de Dados'!V118:W170,2,0),"")</f>
        <v/>
      </c>
      <c r="V118" s="18">
        <f>DAY(Tabela1[[#This Row],[Data]])</f>
        <v>22</v>
      </c>
      <c r="W118" s="18">
        <f>MONTH(Tabela1[[#This Row],[Data]])</f>
        <v>11</v>
      </c>
      <c r="X118" s="18">
        <f>YEAR(Tabela1[[#This Row],[Data]])</f>
        <v>2022</v>
      </c>
    </row>
    <row r="119" spans="1:24" hidden="1" x14ac:dyDescent="0.25">
      <c r="A119" s="22">
        <v>13008</v>
      </c>
      <c r="B119" s="21">
        <v>44887</v>
      </c>
      <c r="C119" s="23">
        <v>782</v>
      </c>
      <c r="D119" s="24"/>
      <c r="E119" s="24"/>
      <c r="F119" s="24"/>
      <c r="G119" s="18" t="str">
        <f>IFERROR(VLOOKUP(Tabela1[[#This Row],[Mat. 1]],'Base de Dados'!$I$5:$J$21,2,0),"")</f>
        <v>JOSÉ</v>
      </c>
      <c r="H119" s="18" t="str">
        <f>IFERROR(VLOOKUP(Tabela1[[#This Row],[Mat. 2]],'Base de Dados'!$I$5:$J$21,2,0),"")</f>
        <v/>
      </c>
      <c r="I119" s="18" t="str">
        <f>IFERROR(VLOOKUP(Tabela1[[#This Row],[Mat. 3]],'Base de Dados'!$I$5:$J$21,2,0),"")</f>
        <v/>
      </c>
      <c r="J119" s="18" t="str">
        <f>IFERROR(VLOOKUP(Tabela1[[#This Row],[Mat. 4]],'Base de Dados'!$I$5:$J$21,2,0),"")</f>
        <v/>
      </c>
      <c r="K119" s="18" t="str">
        <f>IFERROR(VLOOKUP(Tabela1[[#This Row],[Mat. 1]],'Base de Dados'!$I$2:$M$21,5,0),"")</f>
        <v>3º</v>
      </c>
      <c r="L119" s="18" t="s">
        <v>98</v>
      </c>
      <c r="M119" s="18" t="s">
        <v>313</v>
      </c>
      <c r="N119" s="18" t="s">
        <v>558</v>
      </c>
      <c r="O119" s="18">
        <v>10</v>
      </c>
      <c r="P119" s="18">
        <v>0</v>
      </c>
      <c r="Q119" s="45" t="s">
        <v>336</v>
      </c>
      <c r="R119" s="18" t="s">
        <v>34</v>
      </c>
      <c r="S119" s="18" t="str">
        <f>IFERROR(VLOOKUP(Tabela1[[#This Row],[Cód. Causa]],'Base de Dados'!$O$2:$P$21,2,0),"")</f>
        <v>FALHA EM COMPONENTES ELETRONICO</v>
      </c>
      <c r="T119" s="18" t="str">
        <f>IFERROR(VLOOKUP(Tabela1[[#This Row],[Tag]],'Base de Dados'!$B$2:$C$64,2,0),"")</f>
        <v>PRENSA MOLDAGEM 1</v>
      </c>
      <c r="U119" s="18" t="str">
        <f>IFERROR(VLOOKUP(Tabela1[[#This Row],[Tag]],'Base de Dados'!V119:W171,2,0),"")</f>
        <v/>
      </c>
      <c r="V119" s="18">
        <f>DAY(Tabela1[[#This Row],[Data]])</f>
        <v>22</v>
      </c>
      <c r="W119" s="18">
        <f>MONTH(Tabela1[[#This Row],[Data]])</f>
        <v>11</v>
      </c>
      <c r="X119" s="18">
        <f>YEAR(Tabela1[[#This Row],[Data]])</f>
        <v>2022</v>
      </c>
    </row>
    <row r="120" spans="1:24" hidden="1" x14ac:dyDescent="0.25">
      <c r="A120" s="22">
        <v>13010</v>
      </c>
      <c r="B120" s="21">
        <v>44887</v>
      </c>
      <c r="C120" s="23">
        <v>782</v>
      </c>
      <c r="D120" s="24"/>
      <c r="E120" s="24"/>
      <c r="F120" s="24"/>
      <c r="G120" s="18" t="str">
        <f>IFERROR(VLOOKUP(Tabela1[[#This Row],[Mat. 1]],'Base de Dados'!$I$5:$J$21,2,0),"")</f>
        <v>JOSÉ</v>
      </c>
      <c r="H120" s="18" t="str">
        <f>IFERROR(VLOOKUP(Tabela1[[#This Row],[Mat. 2]],'Base de Dados'!$I$5:$J$21,2,0),"")</f>
        <v/>
      </c>
      <c r="I120" s="18" t="str">
        <f>IFERROR(VLOOKUP(Tabela1[[#This Row],[Mat. 3]],'Base de Dados'!$I$5:$J$21,2,0),"")</f>
        <v/>
      </c>
      <c r="J120" s="18" t="str">
        <f>IFERROR(VLOOKUP(Tabela1[[#This Row],[Mat. 4]],'Base de Dados'!$I$5:$J$21,2,0),"")</f>
        <v/>
      </c>
      <c r="K120" s="18" t="str">
        <f>IFERROR(VLOOKUP(Tabela1[[#This Row],[Mat. 1]],'Base de Dados'!$I$2:$M$21,5,0),"")</f>
        <v>3º</v>
      </c>
      <c r="L120" s="18" t="s">
        <v>104</v>
      </c>
      <c r="M120" s="18" t="s">
        <v>313</v>
      </c>
      <c r="N120" s="18" t="s">
        <v>558</v>
      </c>
      <c r="O120" s="18">
        <v>5</v>
      </c>
      <c r="P120" s="18">
        <v>0</v>
      </c>
      <c r="Q120" s="45" t="s">
        <v>418</v>
      </c>
      <c r="R120" s="18" t="s">
        <v>34</v>
      </c>
      <c r="S120" s="18" t="str">
        <f>IFERROR(VLOOKUP(Tabela1[[#This Row],[Cód. Causa]],'Base de Dados'!$O$2:$P$21,2,0),"")</f>
        <v>FALHA EM COMPONENTES ELETRONICO</v>
      </c>
      <c r="T120" s="18" t="str">
        <f>IFERROR(VLOOKUP(Tabela1[[#This Row],[Tag]],'Base de Dados'!$B$2:$C$64,2,0),"")</f>
        <v>PRENSA MOLDAGEM 2</v>
      </c>
      <c r="U120" s="18" t="str">
        <f>IFERROR(VLOOKUP(Tabela1[[#This Row],[Tag]],'Base de Dados'!V120:W172,2,0),"")</f>
        <v/>
      </c>
      <c r="V120" s="18">
        <f>DAY(Tabela1[[#This Row],[Data]])</f>
        <v>22</v>
      </c>
      <c r="W120" s="18">
        <f>MONTH(Tabela1[[#This Row],[Data]])</f>
        <v>11</v>
      </c>
      <c r="X120" s="18">
        <f>YEAR(Tabela1[[#This Row],[Data]])</f>
        <v>2022</v>
      </c>
    </row>
    <row r="121" spans="1:24" hidden="1" x14ac:dyDescent="0.25">
      <c r="A121" s="22">
        <v>13054</v>
      </c>
      <c r="B121" s="21">
        <v>44887</v>
      </c>
      <c r="C121" s="23">
        <v>677</v>
      </c>
      <c r="D121" s="24"/>
      <c r="E121" s="24"/>
      <c r="F121" s="24"/>
      <c r="G121" s="18" t="str">
        <f>IFERROR(VLOOKUP(Tabela1[[#This Row],[Mat. 1]],'Base de Dados'!$I$5:$J$21,2,0),"")</f>
        <v>RAFAEL</v>
      </c>
      <c r="H121" s="18" t="str">
        <f>IFERROR(VLOOKUP(Tabela1[[#This Row],[Mat. 2]],'Base de Dados'!$I$5:$J$21,2,0),"")</f>
        <v/>
      </c>
      <c r="I121" s="18" t="str">
        <f>IFERROR(VLOOKUP(Tabela1[[#This Row],[Mat. 3]],'Base de Dados'!$I$5:$J$21,2,0),"")</f>
        <v/>
      </c>
      <c r="J121" s="18" t="str">
        <f>IFERROR(VLOOKUP(Tabela1[[#This Row],[Mat. 4]],'Base de Dados'!$I$5:$J$21,2,0),"")</f>
        <v/>
      </c>
      <c r="K121" s="18" t="str">
        <f>IFERROR(VLOOKUP(Tabela1[[#This Row],[Mat. 1]],'Base de Dados'!$I$2:$M$21,5,0),"")</f>
        <v>2º</v>
      </c>
      <c r="L121" s="18" t="s">
        <v>136</v>
      </c>
      <c r="M121" s="18" t="s">
        <v>316</v>
      </c>
      <c r="N121" s="18" t="s">
        <v>558</v>
      </c>
      <c r="O121" s="18">
        <v>18</v>
      </c>
      <c r="P121" s="18">
        <v>0</v>
      </c>
      <c r="Q121" s="45" t="s">
        <v>419</v>
      </c>
      <c r="R121" s="18" t="s">
        <v>116</v>
      </c>
      <c r="S121" s="18" t="str">
        <f>IFERROR(VLOOKUP(Tabela1[[#This Row],[Cód. Causa]],'Base de Dados'!$O$2:$P$21,2,0),"")</f>
        <v xml:space="preserve">EQUIPAMENTO TRABALHANDO COM CARGA EXCESSIVA </v>
      </c>
      <c r="T121" s="18" t="str">
        <f>IFERROR(VLOOKUP(Tabela1[[#This Row],[Tag]],'Base de Dados'!$B$2:$C$64,2,0),"")</f>
        <v>PRENSA DE CORTE DO TETO</v>
      </c>
      <c r="U121" s="18" t="str">
        <f>IFERROR(VLOOKUP(Tabela1[[#This Row],[Tag]],'Base de Dados'!V121:W173,2,0),"")</f>
        <v/>
      </c>
      <c r="V121" s="18">
        <f>DAY(Tabela1[[#This Row],[Data]])</f>
        <v>22</v>
      </c>
      <c r="W121" s="18">
        <f>MONTH(Tabela1[[#This Row],[Data]])</f>
        <v>11</v>
      </c>
      <c r="X121" s="18">
        <f>YEAR(Tabela1[[#This Row],[Data]])</f>
        <v>2022</v>
      </c>
    </row>
    <row r="122" spans="1:24" hidden="1" x14ac:dyDescent="0.25">
      <c r="A122" s="22">
        <v>13102</v>
      </c>
      <c r="B122" s="21">
        <v>44887</v>
      </c>
      <c r="C122" s="23">
        <v>721</v>
      </c>
      <c r="D122" s="24"/>
      <c r="E122" s="24"/>
      <c r="F122" s="24"/>
      <c r="G122" s="18" t="str">
        <f>IFERROR(VLOOKUP(Tabela1[[#This Row],[Mat. 1]],'Base de Dados'!$I$5:$J$21,2,0),"")</f>
        <v>GENILSON</v>
      </c>
      <c r="H122" s="18" t="str">
        <f>IFERROR(VLOOKUP(Tabela1[[#This Row],[Mat. 2]],'Base de Dados'!$I$5:$J$21,2,0),"")</f>
        <v/>
      </c>
      <c r="I122" s="18" t="str">
        <f>IFERROR(VLOOKUP(Tabela1[[#This Row],[Mat. 3]],'Base de Dados'!$I$5:$J$21,2,0),"")</f>
        <v/>
      </c>
      <c r="J122" s="18" t="str">
        <f>IFERROR(VLOOKUP(Tabela1[[#This Row],[Mat. 4]],'Base de Dados'!$I$5:$J$21,2,0),"")</f>
        <v/>
      </c>
      <c r="K122" s="18" t="str">
        <f>IFERROR(VLOOKUP(Tabela1[[#This Row],[Mat. 1]],'Base de Dados'!$I$2:$M$21,5,0),"")</f>
        <v>1º</v>
      </c>
      <c r="L122" s="18" t="s">
        <v>141</v>
      </c>
      <c r="M122" s="18" t="s">
        <v>316</v>
      </c>
      <c r="N122" s="18" t="s">
        <v>558</v>
      </c>
      <c r="O122" s="18">
        <v>50</v>
      </c>
      <c r="P122" s="18">
        <v>0</v>
      </c>
      <c r="Q122" s="45" t="s">
        <v>260</v>
      </c>
      <c r="R122" s="18" t="s">
        <v>116</v>
      </c>
      <c r="S122" s="18" t="str">
        <f>IFERROR(VLOOKUP(Tabela1[[#This Row],[Cód. Causa]],'Base de Dados'!$O$2:$P$21,2,0),"")</f>
        <v xml:space="preserve">EQUIPAMENTO TRABALHANDO COM CARGA EXCESSIVA </v>
      </c>
      <c r="T122" s="18" t="str">
        <f>IFERROR(VLOOKUP(Tabela1[[#This Row],[Tag]],'Base de Dados'!$B$2:$C$64,2,0),"")</f>
        <v>CORTE DO TETO  - WATER JET 2</v>
      </c>
      <c r="U122" s="18" t="str">
        <f>IFERROR(VLOOKUP(Tabela1[[#This Row],[Tag]],'Base de Dados'!V122:W174,2,0),"")</f>
        <v/>
      </c>
      <c r="V122" s="18">
        <f>DAY(Tabela1[[#This Row],[Data]])</f>
        <v>22</v>
      </c>
      <c r="W122" s="18">
        <f>MONTH(Tabela1[[#This Row],[Data]])</f>
        <v>11</v>
      </c>
      <c r="X122" s="18">
        <f>YEAR(Tabela1[[#This Row],[Data]])</f>
        <v>2022</v>
      </c>
    </row>
    <row r="123" spans="1:24" hidden="1" x14ac:dyDescent="0.25">
      <c r="A123" s="22">
        <v>13109</v>
      </c>
      <c r="B123" s="21">
        <v>44887</v>
      </c>
      <c r="C123" s="23">
        <v>435</v>
      </c>
      <c r="D123" s="24"/>
      <c r="E123" s="24"/>
      <c r="F123" s="24"/>
      <c r="G123" s="18" t="str">
        <f>IFERROR(VLOOKUP(Tabela1[[#This Row],[Mat. 1]],'Base de Dados'!$I$5:$J$21,2,0),"")</f>
        <v>SILVIO</v>
      </c>
      <c r="H123" s="18" t="str">
        <f>IFERROR(VLOOKUP(Tabela1[[#This Row],[Mat. 2]],'Base de Dados'!$I$5:$J$21,2,0),"")</f>
        <v/>
      </c>
      <c r="I123" s="18" t="str">
        <f>IFERROR(VLOOKUP(Tabela1[[#This Row],[Mat. 3]],'Base de Dados'!$I$5:$J$21,2,0),"")</f>
        <v/>
      </c>
      <c r="J123" s="18" t="str">
        <f>IFERROR(VLOOKUP(Tabela1[[#This Row],[Mat. 4]],'Base de Dados'!$I$5:$J$21,2,0),"")</f>
        <v/>
      </c>
      <c r="K123" s="18" t="str">
        <f>IFERROR(VLOOKUP(Tabela1[[#This Row],[Mat. 1]],'Base de Dados'!$I$2:$M$21,5,0),"")</f>
        <v>1º</v>
      </c>
      <c r="L123" s="18" t="s">
        <v>112</v>
      </c>
      <c r="M123" s="18" t="s">
        <v>313</v>
      </c>
      <c r="N123" s="18" t="s">
        <v>558</v>
      </c>
      <c r="O123" s="18">
        <v>25</v>
      </c>
      <c r="P123" s="18">
        <v>0</v>
      </c>
      <c r="Q123" s="45" t="s">
        <v>420</v>
      </c>
      <c r="R123" s="18" t="s">
        <v>116</v>
      </c>
      <c r="S123" s="18" t="str">
        <f>IFERROR(VLOOKUP(Tabela1[[#This Row],[Cód. Causa]],'Base de Dados'!$O$2:$P$21,2,0),"")</f>
        <v xml:space="preserve">EQUIPAMENTO TRABALHANDO COM CARGA EXCESSIVA </v>
      </c>
      <c r="T123" s="18" t="str">
        <f>IFERROR(VLOOKUP(Tabela1[[#This Row],[Tag]],'Base de Dados'!$B$2:$C$64,2,0),"")</f>
        <v>ROBÔ ABB APLIC. COLA DO TETO</v>
      </c>
      <c r="U123" s="18" t="str">
        <f>IFERROR(VLOOKUP(Tabela1[[#This Row],[Tag]],'Base de Dados'!V123:W175,2,0),"")</f>
        <v/>
      </c>
      <c r="V123" s="18">
        <f>DAY(Tabela1[[#This Row],[Data]])</f>
        <v>22</v>
      </c>
      <c r="W123" s="18">
        <f>MONTH(Tabela1[[#This Row],[Data]])</f>
        <v>11</v>
      </c>
      <c r="X123" s="18">
        <f>YEAR(Tabela1[[#This Row],[Data]])</f>
        <v>2022</v>
      </c>
    </row>
    <row r="124" spans="1:24" hidden="1" x14ac:dyDescent="0.25">
      <c r="A124" s="22">
        <v>13110</v>
      </c>
      <c r="B124" s="21">
        <v>44887</v>
      </c>
      <c r="C124" s="23">
        <v>739</v>
      </c>
      <c r="D124" s="24"/>
      <c r="E124" s="24"/>
      <c r="F124" s="24"/>
      <c r="G124" s="18" t="str">
        <f>IFERROR(VLOOKUP(Tabela1[[#This Row],[Mat. 1]],'Base de Dados'!$I$5:$J$21,2,0),"")</f>
        <v>DANILLO</v>
      </c>
      <c r="H124" s="18" t="str">
        <f>IFERROR(VLOOKUP(Tabela1[[#This Row],[Mat. 2]],'Base de Dados'!$I$5:$J$21,2,0),"")</f>
        <v/>
      </c>
      <c r="I124" s="18" t="str">
        <f>IFERROR(VLOOKUP(Tabela1[[#This Row],[Mat. 3]],'Base de Dados'!$I$5:$J$21,2,0),"")</f>
        <v/>
      </c>
      <c r="J124" s="18" t="str">
        <f>IFERROR(VLOOKUP(Tabela1[[#This Row],[Mat. 4]],'Base de Dados'!$I$5:$J$21,2,0),"")</f>
        <v/>
      </c>
      <c r="K124" s="18" t="str">
        <f>IFERROR(VLOOKUP(Tabela1[[#This Row],[Mat. 1]],'Base de Dados'!$I$2:$M$21,5,0),"")</f>
        <v>1º</v>
      </c>
      <c r="L124" s="18" t="s">
        <v>368</v>
      </c>
      <c r="M124" s="18" t="s">
        <v>316</v>
      </c>
      <c r="N124" s="18" t="s">
        <v>558</v>
      </c>
      <c r="O124" s="18">
        <v>50</v>
      </c>
      <c r="P124" s="18">
        <v>0</v>
      </c>
      <c r="Q124" s="45" t="s">
        <v>421</v>
      </c>
      <c r="R124" s="18" t="s">
        <v>116</v>
      </c>
      <c r="S124" s="18" t="str">
        <f>IFERROR(VLOOKUP(Tabela1[[#This Row],[Cód. Causa]],'Base de Dados'!$O$2:$P$21,2,0),"")</f>
        <v xml:space="preserve">EQUIPAMENTO TRABALHANDO COM CARGA EXCESSIVA </v>
      </c>
      <c r="T124" s="18" t="str">
        <f>IFERROR(VLOOKUP(Tabela1[[#This Row],[Tag]],'Base de Dados'!$B$2:$C$64,2,0),"")</f>
        <v/>
      </c>
      <c r="U124" s="18" t="str">
        <f>IFERROR(VLOOKUP(Tabela1[[#This Row],[Tag]],'Base de Dados'!V124:W176,2,0),"")</f>
        <v/>
      </c>
      <c r="V124" s="18">
        <f>DAY(Tabela1[[#This Row],[Data]])</f>
        <v>22</v>
      </c>
      <c r="W124" s="18">
        <f>MONTH(Tabela1[[#This Row],[Data]])</f>
        <v>11</v>
      </c>
      <c r="X124" s="18">
        <f>YEAR(Tabela1[[#This Row],[Data]])</f>
        <v>2022</v>
      </c>
    </row>
    <row r="125" spans="1:24" hidden="1" x14ac:dyDescent="0.25">
      <c r="A125" s="22">
        <v>13111</v>
      </c>
      <c r="B125" s="21">
        <v>44887</v>
      </c>
      <c r="C125" s="23">
        <v>721</v>
      </c>
      <c r="D125" s="24">
        <v>15</v>
      </c>
      <c r="E125" s="24"/>
      <c r="F125" s="24"/>
      <c r="G125" s="18" t="str">
        <f>IFERROR(VLOOKUP(Tabela1[[#This Row],[Mat. 1]],'Base de Dados'!$I$5:$J$21,2,0),"")</f>
        <v>GENILSON</v>
      </c>
      <c r="H125" s="18" t="str">
        <f>IFERROR(VLOOKUP(Tabela1[[#This Row],[Mat. 2]],'Base de Dados'!$I$5:$J$21,2,0),"")</f>
        <v>ROBERT</v>
      </c>
      <c r="I125" s="18" t="str">
        <f>IFERROR(VLOOKUP(Tabela1[[#This Row],[Mat. 3]],'Base de Dados'!$I$5:$J$21,2,0),"")</f>
        <v/>
      </c>
      <c r="J125" s="18" t="str">
        <f>IFERROR(VLOOKUP(Tabela1[[#This Row],[Mat. 4]],'Base de Dados'!$I$5:$J$21,2,0),"")</f>
        <v/>
      </c>
      <c r="K125" s="18" t="str">
        <f>IFERROR(VLOOKUP(Tabela1[[#This Row],[Mat. 1]],'Base de Dados'!$I$2:$M$21,5,0),"")</f>
        <v>1º</v>
      </c>
      <c r="L125" s="18" t="s">
        <v>422</v>
      </c>
      <c r="M125" s="18" t="s">
        <v>313</v>
      </c>
      <c r="N125" s="18" t="s">
        <v>558</v>
      </c>
      <c r="O125" s="18">
        <v>120</v>
      </c>
      <c r="P125" s="18">
        <v>0</v>
      </c>
      <c r="Q125" s="45" t="s">
        <v>423</v>
      </c>
      <c r="R125" s="18" t="s">
        <v>34</v>
      </c>
      <c r="S125" s="18" t="str">
        <f>IFERROR(VLOOKUP(Tabela1[[#This Row],[Cód. Causa]],'Base de Dados'!$O$2:$P$21,2,0),"")</f>
        <v>FALHA EM COMPONENTES ELETRONICO</v>
      </c>
      <c r="T125" s="18" t="str">
        <f>IFERROR(VLOOKUP(Tabela1[[#This Row],[Tag]],'Base de Dados'!$B$2:$C$64,2,0),"")</f>
        <v/>
      </c>
      <c r="U125" s="18" t="str">
        <f>IFERROR(VLOOKUP(Tabela1[[#This Row],[Tag]],'Base de Dados'!V125:W177,2,0),"")</f>
        <v/>
      </c>
      <c r="V125" s="18">
        <f>DAY(Tabela1[[#This Row],[Data]])</f>
        <v>22</v>
      </c>
      <c r="W125" s="18">
        <f>MONTH(Tabela1[[#This Row],[Data]])</f>
        <v>11</v>
      </c>
      <c r="X125" s="18">
        <f>YEAR(Tabela1[[#This Row],[Data]])</f>
        <v>2022</v>
      </c>
    </row>
    <row r="126" spans="1:24" hidden="1" x14ac:dyDescent="0.25">
      <c r="A126" s="22">
        <v>13113</v>
      </c>
      <c r="B126" s="21">
        <v>44887</v>
      </c>
      <c r="C126" s="23">
        <v>435</v>
      </c>
      <c r="D126" s="24">
        <v>877</v>
      </c>
      <c r="E126" s="24">
        <v>721</v>
      </c>
      <c r="F126" s="24"/>
      <c r="G126" s="18" t="str">
        <f>IFERROR(VLOOKUP(Tabela1[[#This Row],[Mat. 1]],'Base de Dados'!$I$5:$J$21,2,0),"")</f>
        <v>SILVIO</v>
      </c>
      <c r="H126" s="18" t="str">
        <f>IFERROR(VLOOKUP(Tabela1[[#This Row],[Mat. 2]],'Base de Dados'!$I$5:$J$21,2,0),"")</f>
        <v>RONALDO</v>
      </c>
      <c r="I126" s="18" t="str">
        <f>IFERROR(VLOOKUP(Tabela1[[#This Row],[Mat. 3]],'Base de Dados'!$I$5:$J$21,2,0),"")</f>
        <v>GENILSON</v>
      </c>
      <c r="J126" s="18" t="str">
        <f>IFERROR(VLOOKUP(Tabela1[[#This Row],[Mat. 4]],'Base de Dados'!$I$5:$J$21,2,0),"")</f>
        <v/>
      </c>
      <c r="K126" s="18" t="str">
        <f>IFERROR(VLOOKUP(Tabela1[[#This Row],[Mat. 1]],'Base de Dados'!$I$2:$M$21,5,0),"")</f>
        <v>1º</v>
      </c>
      <c r="L126" s="18" t="s">
        <v>145</v>
      </c>
      <c r="M126" s="18" t="s">
        <v>316</v>
      </c>
      <c r="N126" s="18" t="s">
        <v>558</v>
      </c>
      <c r="O126" s="18">
        <v>20</v>
      </c>
      <c r="P126" s="18">
        <v>0</v>
      </c>
      <c r="Q126" s="45" t="s">
        <v>424</v>
      </c>
      <c r="R126" s="18" t="s">
        <v>116</v>
      </c>
      <c r="S126" s="18" t="str">
        <f>IFERROR(VLOOKUP(Tabela1[[#This Row],[Cód. Causa]],'Base de Dados'!$O$2:$P$21,2,0),"")</f>
        <v xml:space="preserve">EQUIPAMENTO TRABALHANDO COM CARGA EXCESSIVA </v>
      </c>
      <c r="T126" s="18" t="str">
        <f>IFERROR(VLOOKUP(Tabela1[[#This Row],[Tag]],'Base de Dados'!$B$2:$C$64,2,0),"")</f>
        <v>VIROLA DO TETO 521</v>
      </c>
      <c r="U126" s="18" t="str">
        <f>IFERROR(VLOOKUP(Tabela1[[#This Row],[Tag]],'Base de Dados'!V126:W178,2,0),"")</f>
        <v/>
      </c>
      <c r="V126" s="18">
        <f>DAY(Tabela1[[#This Row],[Data]])</f>
        <v>22</v>
      </c>
      <c r="W126" s="18">
        <f>MONTH(Tabela1[[#This Row],[Data]])</f>
        <v>11</v>
      </c>
      <c r="X126" s="18">
        <f>YEAR(Tabela1[[#This Row],[Data]])</f>
        <v>2022</v>
      </c>
    </row>
    <row r="127" spans="1:24" hidden="1" x14ac:dyDescent="0.25">
      <c r="A127" s="22">
        <v>13114</v>
      </c>
      <c r="B127" s="21">
        <v>44887</v>
      </c>
      <c r="C127" s="23">
        <v>677</v>
      </c>
      <c r="D127" s="24"/>
      <c r="E127" s="24"/>
      <c r="F127" s="24"/>
      <c r="G127" s="18" t="str">
        <f>IFERROR(VLOOKUP(Tabela1[[#This Row],[Mat. 1]],'Base de Dados'!$I$5:$J$21,2,0),"")</f>
        <v>RAFAEL</v>
      </c>
      <c r="H127" s="18" t="str">
        <f>IFERROR(VLOOKUP(Tabela1[[#This Row],[Mat. 2]],'Base de Dados'!$I$5:$J$21,2,0),"")</f>
        <v/>
      </c>
      <c r="I127" s="18" t="str">
        <f>IFERROR(VLOOKUP(Tabela1[[#This Row],[Mat. 3]],'Base de Dados'!$I$5:$J$21,2,0),"")</f>
        <v/>
      </c>
      <c r="J127" s="18" t="str">
        <f>IFERROR(VLOOKUP(Tabela1[[#This Row],[Mat. 4]],'Base de Dados'!$I$5:$J$21,2,0),"")</f>
        <v/>
      </c>
      <c r="K127" s="18" t="str">
        <f>IFERROR(VLOOKUP(Tabela1[[#This Row],[Mat. 1]],'Base de Dados'!$I$2:$M$21,5,0),"")</f>
        <v>2º</v>
      </c>
      <c r="L127" s="18" t="s">
        <v>363</v>
      </c>
      <c r="M127" s="18" t="s">
        <v>316</v>
      </c>
      <c r="N127" s="18" t="s">
        <v>558</v>
      </c>
      <c r="O127" s="18">
        <v>20</v>
      </c>
      <c r="P127" s="18">
        <v>0</v>
      </c>
      <c r="Q127" s="45" t="s">
        <v>320</v>
      </c>
      <c r="R127" s="18" t="s">
        <v>116</v>
      </c>
      <c r="S127" s="18" t="str">
        <f>IFERROR(VLOOKUP(Tabela1[[#This Row],[Cód. Causa]],'Base de Dados'!$O$2:$P$21,2,0),"")</f>
        <v xml:space="preserve">EQUIPAMENTO TRABALHANDO COM CARGA EXCESSIVA </v>
      </c>
      <c r="T127" s="18" t="str">
        <f>IFERROR(VLOOKUP(Tabela1[[#This Row],[Tag]],'Base de Dados'!$B$2:$C$64,2,0),"")</f>
        <v/>
      </c>
      <c r="U127" s="18" t="str">
        <f>IFERROR(VLOOKUP(Tabela1[[#This Row],[Tag]],'Base de Dados'!V127:W179,2,0),"")</f>
        <v/>
      </c>
      <c r="V127" s="18">
        <f>DAY(Tabela1[[#This Row],[Data]])</f>
        <v>22</v>
      </c>
      <c r="W127" s="18">
        <f>MONTH(Tabela1[[#This Row],[Data]])</f>
        <v>11</v>
      </c>
      <c r="X127" s="18">
        <f>YEAR(Tabela1[[#This Row],[Data]])</f>
        <v>2022</v>
      </c>
    </row>
    <row r="128" spans="1:24" hidden="1" x14ac:dyDescent="0.25">
      <c r="A128" s="22">
        <v>13115</v>
      </c>
      <c r="B128" s="21">
        <v>44887</v>
      </c>
      <c r="C128" s="23">
        <v>677</v>
      </c>
      <c r="D128" s="24"/>
      <c r="E128" s="24"/>
      <c r="F128" s="24"/>
      <c r="G128" s="18" t="str">
        <f>IFERROR(VLOOKUP(Tabela1[[#This Row],[Mat. 1]],'Base de Dados'!$I$5:$J$21,2,0),"")</f>
        <v>RAFAEL</v>
      </c>
      <c r="H128" s="18" t="str">
        <f>IFERROR(VLOOKUP(Tabela1[[#This Row],[Mat. 2]],'Base de Dados'!$I$5:$J$21,2,0),"")</f>
        <v/>
      </c>
      <c r="I128" s="18" t="str">
        <f>IFERROR(VLOOKUP(Tabela1[[#This Row],[Mat. 3]],'Base de Dados'!$I$5:$J$21,2,0),"")</f>
        <v/>
      </c>
      <c r="J128" s="18" t="str">
        <f>IFERROR(VLOOKUP(Tabela1[[#This Row],[Mat. 4]],'Base de Dados'!$I$5:$J$21,2,0),"")</f>
        <v/>
      </c>
      <c r="K128" s="18" t="str">
        <f>IFERROR(VLOOKUP(Tabela1[[#This Row],[Mat. 1]],'Base de Dados'!$I$2:$M$21,5,0),"")</f>
        <v>2º</v>
      </c>
      <c r="L128" s="18" t="s">
        <v>409</v>
      </c>
      <c r="M128" s="18" t="s">
        <v>316</v>
      </c>
      <c r="N128" s="18" t="s">
        <v>558</v>
      </c>
      <c r="O128" s="18">
        <v>30</v>
      </c>
      <c r="P128" s="18">
        <v>0</v>
      </c>
      <c r="Q128" s="45" t="s">
        <v>425</v>
      </c>
      <c r="R128" s="18" t="s">
        <v>116</v>
      </c>
      <c r="S128" s="18" t="str">
        <f>IFERROR(VLOOKUP(Tabela1[[#This Row],[Cód. Causa]],'Base de Dados'!$O$2:$P$21,2,0),"")</f>
        <v xml:space="preserve">EQUIPAMENTO TRABALHANDO COM CARGA EXCESSIVA </v>
      </c>
      <c r="T128" s="18" t="str">
        <f>IFERROR(VLOOKUP(Tabela1[[#This Row],[Tag]],'Base de Dados'!$B$2:$C$64,2,0),"")</f>
        <v/>
      </c>
      <c r="U128" s="18" t="str">
        <f>IFERROR(VLOOKUP(Tabela1[[#This Row],[Tag]],'Base de Dados'!V128:W180,2,0),"")</f>
        <v/>
      </c>
      <c r="V128" s="18">
        <f>DAY(Tabela1[[#This Row],[Data]])</f>
        <v>22</v>
      </c>
      <c r="W128" s="18">
        <f>MONTH(Tabela1[[#This Row],[Data]])</f>
        <v>11</v>
      </c>
      <c r="X128" s="18">
        <f>YEAR(Tabela1[[#This Row],[Data]])</f>
        <v>2022</v>
      </c>
    </row>
    <row r="129" spans="1:24" hidden="1" x14ac:dyDescent="0.25">
      <c r="A129" s="22">
        <v>13116</v>
      </c>
      <c r="B129" s="21">
        <v>44887</v>
      </c>
      <c r="C129" s="23">
        <v>721</v>
      </c>
      <c r="D129" s="24"/>
      <c r="E129" s="24"/>
      <c r="F129" s="24"/>
      <c r="G129" s="18" t="str">
        <f>IFERROR(VLOOKUP(Tabela1[[#This Row],[Mat. 1]],'Base de Dados'!$I$5:$J$21,2,0),"")</f>
        <v>GENILSON</v>
      </c>
      <c r="H129" s="18" t="str">
        <f>IFERROR(VLOOKUP(Tabela1[[#This Row],[Mat. 2]],'Base de Dados'!$I$5:$J$21,2,0),"")</f>
        <v/>
      </c>
      <c r="I129" s="18" t="str">
        <f>IFERROR(VLOOKUP(Tabela1[[#This Row],[Mat. 3]],'Base de Dados'!$I$5:$J$21,2,0),"")</f>
        <v/>
      </c>
      <c r="J129" s="18" t="str">
        <f>IFERROR(VLOOKUP(Tabela1[[#This Row],[Mat. 4]],'Base de Dados'!$I$5:$J$21,2,0),"")</f>
        <v/>
      </c>
      <c r="K129" s="18" t="str">
        <f>IFERROR(VLOOKUP(Tabela1[[#This Row],[Mat. 1]],'Base de Dados'!$I$2:$M$21,5,0),"")</f>
        <v>1º</v>
      </c>
      <c r="L129" s="18" t="s">
        <v>145</v>
      </c>
      <c r="M129" s="18" t="s">
        <v>313</v>
      </c>
      <c r="N129" s="18" t="s">
        <v>558</v>
      </c>
      <c r="O129" s="18">
        <v>25</v>
      </c>
      <c r="P129" s="18">
        <v>0</v>
      </c>
      <c r="Q129" s="45" t="s">
        <v>426</v>
      </c>
      <c r="R129" s="18" t="s">
        <v>34</v>
      </c>
      <c r="S129" s="18" t="str">
        <f>IFERROR(VLOOKUP(Tabela1[[#This Row],[Cód. Causa]],'Base de Dados'!$O$2:$P$21,2,0),"")</f>
        <v>FALHA EM COMPONENTES ELETRONICO</v>
      </c>
      <c r="T129" s="18" t="str">
        <f>IFERROR(VLOOKUP(Tabela1[[#This Row],[Tag]],'Base de Dados'!$B$2:$C$64,2,0),"")</f>
        <v>VIROLA DO TETO 521</v>
      </c>
      <c r="U129" s="18" t="str">
        <f>IFERROR(VLOOKUP(Tabela1[[#This Row],[Tag]],'Base de Dados'!V129:W181,2,0),"")</f>
        <v/>
      </c>
      <c r="V129" s="18">
        <f>DAY(Tabela1[[#This Row],[Data]])</f>
        <v>22</v>
      </c>
      <c r="W129" s="18">
        <f>MONTH(Tabela1[[#This Row],[Data]])</f>
        <v>11</v>
      </c>
      <c r="X129" s="18">
        <f>YEAR(Tabela1[[#This Row],[Data]])</f>
        <v>2022</v>
      </c>
    </row>
    <row r="130" spans="1:24" hidden="1" x14ac:dyDescent="0.25">
      <c r="A130" s="22">
        <v>13158</v>
      </c>
      <c r="B130" s="21">
        <v>44887</v>
      </c>
      <c r="C130" s="23">
        <v>782</v>
      </c>
      <c r="D130" s="24"/>
      <c r="E130" s="24"/>
      <c r="F130" s="24"/>
      <c r="G130" s="18" t="str">
        <f>IFERROR(VLOOKUP(Tabela1[[#This Row],[Mat. 1]],'Base de Dados'!$I$5:$J$21,2,0),"")</f>
        <v>JOSÉ</v>
      </c>
      <c r="H130" s="18" t="str">
        <f>IFERROR(VLOOKUP(Tabela1[[#This Row],[Mat. 2]],'Base de Dados'!$I$5:$J$21,2,0),"")</f>
        <v/>
      </c>
      <c r="I130" s="18" t="str">
        <f>IFERROR(VLOOKUP(Tabela1[[#This Row],[Mat. 3]],'Base de Dados'!$I$5:$J$21,2,0),"")</f>
        <v/>
      </c>
      <c r="J130" s="18" t="str">
        <f>IFERROR(VLOOKUP(Tabela1[[#This Row],[Mat. 4]],'Base de Dados'!$I$5:$J$21,2,0),"")</f>
        <v/>
      </c>
      <c r="K130" s="18" t="str">
        <f>IFERROR(VLOOKUP(Tabela1[[#This Row],[Mat. 1]],'Base de Dados'!$I$2:$M$21,5,0),"")</f>
        <v>3º</v>
      </c>
      <c r="L130" s="18" t="s">
        <v>175</v>
      </c>
      <c r="M130" s="18" t="s">
        <v>313</v>
      </c>
      <c r="N130" s="18" t="s">
        <v>558</v>
      </c>
      <c r="O130" s="18">
        <v>10</v>
      </c>
      <c r="P130" s="18">
        <v>0</v>
      </c>
      <c r="Q130" s="45" t="s">
        <v>358</v>
      </c>
      <c r="R130" s="18" t="s">
        <v>110</v>
      </c>
      <c r="S130" s="18" t="str">
        <f>IFERROR(VLOOKUP(Tabela1[[#This Row],[Cód. Causa]],'Base de Dados'!$O$2:$P$21,2,0),"")</f>
        <v>NÃO OBSERVAÇÃO DOS PARÂMETROS DE FUNCIONAMENTO DO EQUIPAMENTO</v>
      </c>
      <c r="T130" s="18" t="str">
        <f>IFERROR(VLOOKUP(Tabela1[[#This Row],[Tag]],'Base de Dados'!$B$2:$C$64,2,0),"")</f>
        <v>PRENSA SOLDA BATE PÉ</v>
      </c>
      <c r="U130" s="18" t="str">
        <f>IFERROR(VLOOKUP(Tabela1[[#This Row],[Tag]],'Base de Dados'!V130:W182,2,0),"")</f>
        <v/>
      </c>
      <c r="V130" s="18">
        <f>DAY(Tabela1[[#This Row],[Data]])</f>
        <v>22</v>
      </c>
      <c r="W130" s="18">
        <f>MONTH(Tabela1[[#This Row],[Data]])</f>
        <v>11</v>
      </c>
      <c r="X130" s="18">
        <f>YEAR(Tabela1[[#This Row],[Data]])</f>
        <v>2022</v>
      </c>
    </row>
    <row r="131" spans="1:24" hidden="1" x14ac:dyDescent="0.25">
      <c r="A131" s="22">
        <v>13160</v>
      </c>
      <c r="B131" s="21">
        <v>44887</v>
      </c>
      <c r="C131" s="23">
        <v>540</v>
      </c>
      <c r="D131" s="24">
        <v>248</v>
      </c>
      <c r="E131" s="24">
        <v>677</v>
      </c>
      <c r="F131" s="24"/>
      <c r="G131" s="18" t="str">
        <f>IFERROR(VLOOKUP(Tabela1[[#This Row],[Mat. 1]],'Base de Dados'!$I$5:$J$21,2,0),"")</f>
        <v>ANDERSON</v>
      </c>
      <c r="H131" s="18" t="str">
        <f>IFERROR(VLOOKUP(Tabela1[[#This Row],[Mat. 2]],'Base de Dados'!$I$5:$J$21,2,0),"")</f>
        <v>RUIGUENS</v>
      </c>
      <c r="I131" s="18" t="str">
        <f>IFERROR(VLOOKUP(Tabela1[[#This Row],[Mat. 3]],'Base de Dados'!$I$5:$J$21,2,0),"")</f>
        <v>RAFAEL</v>
      </c>
      <c r="J131" s="18" t="str">
        <f>IFERROR(VLOOKUP(Tabela1[[#This Row],[Mat. 4]],'Base de Dados'!$I$5:$J$21,2,0),"")</f>
        <v/>
      </c>
      <c r="K131" s="18" t="str">
        <f>IFERROR(VLOOKUP(Tabela1[[#This Row],[Mat. 1]],'Base de Dados'!$I$2:$M$21,5,0),"")</f>
        <v>2º</v>
      </c>
      <c r="L131" s="18" t="s">
        <v>156</v>
      </c>
      <c r="M131" s="18" t="s">
        <v>316</v>
      </c>
      <c r="N131" s="18" t="s">
        <v>558</v>
      </c>
      <c r="O131" s="18">
        <v>30</v>
      </c>
      <c r="P131" s="18">
        <v>0</v>
      </c>
      <c r="Q131" s="45" t="s">
        <v>427</v>
      </c>
      <c r="R131" s="18" t="s">
        <v>116</v>
      </c>
      <c r="S131" s="18" t="str">
        <f>IFERROR(VLOOKUP(Tabela1[[#This Row],[Cód. Causa]],'Base de Dados'!$O$2:$P$21,2,0),"")</f>
        <v xml:space="preserve">EQUIPAMENTO TRABALHANDO COM CARGA EXCESSIVA </v>
      </c>
      <c r="T131" s="18" t="str">
        <f>IFERROR(VLOOKUP(Tabela1[[#This Row],[Tag]],'Base de Dados'!$B$2:$C$64,2,0),"")</f>
        <v>PRENSA DE ACOPLAGEM TPO</v>
      </c>
      <c r="U131" s="18" t="str">
        <f>IFERROR(VLOOKUP(Tabela1[[#This Row],[Tag]],'Base de Dados'!V131:W183,2,0),"")</f>
        <v/>
      </c>
      <c r="V131" s="18">
        <f>DAY(Tabela1[[#This Row],[Data]])</f>
        <v>22</v>
      </c>
      <c r="W131" s="18">
        <f>MONTH(Tabela1[[#This Row],[Data]])</f>
        <v>11</v>
      </c>
      <c r="X131" s="18">
        <f>YEAR(Tabela1[[#This Row],[Data]])</f>
        <v>2022</v>
      </c>
    </row>
    <row r="132" spans="1:24" hidden="1" x14ac:dyDescent="0.25">
      <c r="A132" s="22">
        <v>13161</v>
      </c>
      <c r="B132" s="21">
        <v>44887</v>
      </c>
      <c r="C132" s="23">
        <v>677</v>
      </c>
      <c r="D132" s="24">
        <v>540</v>
      </c>
      <c r="E132" s="24"/>
      <c r="F132" s="24"/>
      <c r="G132" s="18" t="str">
        <f>IFERROR(VLOOKUP(Tabela1[[#This Row],[Mat. 1]],'Base de Dados'!$I$5:$J$21,2,0),"")</f>
        <v>RAFAEL</v>
      </c>
      <c r="H132" s="18" t="str">
        <f>IFERROR(VLOOKUP(Tabela1[[#This Row],[Mat. 2]],'Base de Dados'!$I$5:$J$21,2,0),"")</f>
        <v>ANDERSON</v>
      </c>
      <c r="I132" s="18" t="str">
        <f>IFERROR(VLOOKUP(Tabela1[[#This Row],[Mat. 3]],'Base de Dados'!$I$5:$J$21,2,0),"")</f>
        <v/>
      </c>
      <c r="J132" s="18" t="str">
        <f>IFERROR(VLOOKUP(Tabela1[[#This Row],[Mat. 4]],'Base de Dados'!$I$5:$J$21,2,0),"")</f>
        <v/>
      </c>
      <c r="K132" s="18" t="str">
        <f>IFERROR(VLOOKUP(Tabela1[[#This Row],[Mat. 1]],'Base de Dados'!$I$2:$M$21,5,0),"")</f>
        <v>2º</v>
      </c>
      <c r="L132" s="18" t="s">
        <v>187</v>
      </c>
      <c r="M132" s="18" t="s">
        <v>316</v>
      </c>
      <c r="N132" s="18" t="s">
        <v>558</v>
      </c>
      <c r="O132" s="18">
        <v>15</v>
      </c>
      <c r="P132" s="18">
        <v>0</v>
      </c>
      <c r="Q132" s="45" t="s">
        <v>428</v>
      </c>
      <c r="R132" s="18" t="s">
        <v>116</v>
      </c>
      <c r="S132" s="18" t="str">
        <f>IFERROR(VLOOKUP(Tabela1[[#This Row],[Cód. Causa]],'Base de Dados'!$O$2:$P$21,2,0),"")</f>
        <v xml:space="preserve">EQUIPAMENTO TRABALHANDO COM CARGA EXCESSIVA </v>
      </c>
      <c r="T132" s="18" t="str">
        <f>IFERROR(VLOOKUP(Tabela1[[#This Row],[Tag]],'Base de Dados'!$B$2:$C$64,2,0),"")</f>
        <v>CORTE DO CARPETE- WATER JET</v>
      </c>
      <c r="U132" s="18" t="str">
        <f>IFERROR(VLOOKUP(Tabela1[[#This Row],[Tag]],'Base de Dados'!V132:W184,2,0),"")</f>
        <v/>
      </c>
      <c r="V132" s="18">
        <f>DAY(Tabela1[[#This Row],[Data]])</f>
        <v>22</v>
      </c>
      <c r="W132" s="18">
        <f>MONTH(Tabela1[[#This Row],[Data]])</f>
        <v>11</v>
      </c>
      <c r="X132" s="18">
        <f>YEAR(Tabela1[[#This Row],[Data]])</f>
        <v>2022</v>
      </c>
    </row>
    <row r="133" spans="1:24" hidden="1" x14ac:dyDescent="0.25">
      <c r="A133" s="22">
        <v>13173</v>
      </c>
      <c r="B133" s="21">
        <v>44887</v>
      </c>
      <c r="C133" s="23">
        <v>540</v>
      </c>
      <c r="D133" s="24">
        <v>631</v>
      </c>
      <c r="E133" s="24"/>
      <c r="F133" s="24"/>
      <c r="G133" s="18" t="str">
        <f>IFERROR(VLOOKUP(Tabela1[[#This Row],[Mat. 1]],'Base de Dados'!$I$5:$J$21,2,0),"")</f>
        <v>ANDERSON</v>
      </c>
      <c r="H133" s="18" t="str">
        <f>IFERROR(VLOOKUP(Tabela1[[#This Row],[Mat. 2]],'Base de Dados'!$I$5:$J$21,2,0),"")</f>
        <v>JOSINALDO</v>
      </c>
      <c r="I133" s="18" t="str">
        <f>IFERROR(VLOOKUP(Tabela1[[#This Row],[Mat. 3]],'Base de Dados'!$I$5:$J$21,2,0),"")</f>
        <v/>
      </c>
      <c r="J133" s="18" t="str">
        <f>IFERROR(VLOOKUP(Tabela1[[#This Row],[Mat. 4]],'Base de Dados'!$I$5:$J$21,2,0),"")</f>
        <v/>
      </c>
      <c r="K133" s="18" t="str">
        <f>IFERROR(VLOOKUP(Tabela1[[#This Row],[Mat. 1]],'Base de Dados'!$I$2:$M$21,5,0),"")</f>
        <v>2º</v>
      </c>
      <c r="L133" s="18" t="s">
        <v>156</v>
      </c>
      <c r="M133" s="18" t="s">
        <v>313</v>
      </c>
      <c r="N133" s="18" t="s">
        <v>558</v>
      </c>
      <c r="O133" s="18">
        <v>17</v>
      </c>
      <c r="P133" s="18">
        <v>0</v>
      </c>
      <c r="Q133" s="45" t="s">
        <v>429</v>
      </c>
      <c r="R133" s="18" t="s">
        <v>34</v>
      </c>
      <c r="S133" s="18" t="str">
        <f>IFERROR(VLOOKUP(Tabela1[[#This Row],[Cód. Causa]],'Base de Dados'!$O$2:$P$21,2,0),"")</f>
        <v>FALHA EM COMPONENTES ELETRONICO</v>
      </c>
      <c r="T133" s="18" t="str">
        <f>IFERROR(VLOOKUP(Tabela1[[#This Row],[Tag]],'Base de Dados'!$B$2:$C$64,2,0),"")</f>
        <v>PRENSA DE ACOPLAGEM TPO</v>
      </c>
      <c r="U133" s="18" t="str">
        <f>IFERROR(VLOOKUP(Tabela1[[#This Row],[Tag]],'Base de Dados'!V133:W185,2,0),"")</f>
        <v/>
      </c>
      <c r="V133" s="18">
        <f>DAY(Tabela1[[#This Row],[Data]])</f>
        <v>22</v>
      </c>
      <c r="W133" s="18">
        <f>MONTH(Tabela1[[#This Row],[Data]])</f>
        <v>11</v>
      </c>
      <c r="X133" s="18">
        <f>YEAR(Tabela1[[#This Row],[Data]])</f>
        <v>2022</v>
      </c>
    </row>
    <row r="134" spans="1:24" hidden="1" x14ac:dyDescent="0.25">
      <c r="A134" s="22">
        <v>13952</v>
      </c>
      <c r="B134" s="21">
        <v>44887</v>
      </c>
      <c r="C134" s="23">
        <v>444</v>
      </c>
      <c r="D134" s="24"/>
      <c r="E134" s="24"/>
      <c r="F134" s="24"/>
      <c r="G134" s="18" t="str">
        <f>IFERROR(VLOOKUP(Tabela1[[#This Row],[Mat. 1]],'Base de Dados'!$I$5:$J$21,2,0),"")</f>
        <v>EDUARDO</v>
      </c>
      <c r="H134" s="18" t="str">
        <f>IFERROR(VLOOKUP(Tabela1[[#This Row],[Mat. 2]],'Base de Dados'!$I$5:$J$21,2,0),"")</f>
        <v/>
      </c>
      <c r="I134" s="18" t="str">
        <f>IFERROR(VLOOKUP(Tabela1[[#This Row],[Mat. 3]],'Base de Dados'!$I$5:$J$21,2,0),"")</f>
        <v/>
      </c>
      <c r="J134" s="18" t="str">
        <f>IFERROR(VLOOKUP(Tabela1[[#This Row],[Mat. 4]],'Base de Dados'!$I$5:$J$21,2,0),"")</f>
        <v/>
      </c>
      <c r="K134" s="18" t="str">
        <f>IFERROR(VLOOKUP(Tabela1[[#This Row],[Mat. 1]],'Base de Dados'!$I$2:$M$21,5,0),"")</f>
        <v>3º</v>
      </c>
      <c r="L134" s="18" t="s">
        <v>73</v>
      </c>
      <c r="M134" s="18" t="s">
        <v>316</v>
      </c>
      <c r="N134" s="18" t="s">
        <v>558</v>
      </c>
      <c r="O134" s="18">
        <v>20</v>
      </c>
      <c r="P134" s="18">
        <v>0</v>
      </c>
      <c r="Q134" s="45" t="s">
        <v>430</v>
      </c>
      <c r="R134" s="18" t="s">
        <v>116</v>
      </c>
      <c r="S134" s="18" t="str">
        <f>IFERROR(VLOOKUP(Tabela1[[#This Row],[Cód. Causa]],'Base de Dados'!$O$2:$P$21,2,0),"")</f>
        <v xml:space="preserve">EQUIPAMENTO TRABALHANDO COM CARGA EXCESSIVA </v>
      </c>
      <c r="T134" s="18" t="str">
        <f>IFERROR(VLOOKUP(Tabela1[[#This Row],[Tag]],'Base de Dados'!$B$2:$C$64,2,0),"")</f>
        <v>PRENSA COM INJEÇÃO PU INNER 02</v>
      </c>
      <c r="U134" s="18" t="str">
        <f>IFERROR(VLOOKUP(Tabela1[[#This Row],[Tag]],'Base de Dados'!V134:W186,2,0),"")</f>
        <v/>
      </c>
      <c r="V134" s="18">
        <f>DAY(Tabela1[[#This Row],[Data]])</f>
        <v>22</v>
      </c>
      <c r="W134" s="18">
        <f>MONTH(Tabela1[[#This Row],[Data]])</f>
        <v>11</v>
      </c>
      <c r="X134" s="18">
        <f>YEAR(Tabela1[[#This Row],[Data]])</f>
        <v>2022</v>
      </c>
    </row>
    <row r="135" spans="1:24" hidden="1" x14ac:dyDescent="0.25">
      <c r="A135" s="22">
        <v>13954</v>
      </c>
      <c r="B135" s="21">
        <v>44887</v>
      </c>
      <c r="C135" s="23">
        <v>721</v>
      </c>
      <c r="D135" s="24">
        <v>15</v>
      </c>
      <c r="E135" s="24"/>
      <c r="F135" s="24"/>
      <c r="G135" s="18" t="str">
        <f>IFERROR(VLOOKUP(Tabela1[[#This Row],[Mat. 1]],'Base de Dados'!$I$5:$J$21,2,0),"")</f>
        <v>GENILSON</v>
      </c>
      <c r="H135" s="18" t="str">
        <f>IFERROR(VLOOKUP(Tabela1[[#This Row],[Mat. 2]],'Base de Dados'!$I$5:$J$21,2,0),"")</f>
        <v>ROBERT</v>
      </c>
      <c r="I135" s="18" t="str">
        <f>IFERROR(VLOOKUP(Tabela1[[#This Row],[Mat. 3]],'Base de Dados'!$I$5:$J$21,2,0),"")</f>
        <v/>
      </c>
      <c r="J135" s="18" t="str">
        <f>IFERROR(VLOOKUP(Tabela1[[#This Row],[Mat. 4]],'Base de Dados'!$I$5:$J$21,2,0),"")</f>
        <v/>
      </c>
      <c r="K135" s="18" t="str">
        <f>IFERROR(VLOOKUP(Tabela1[[#This Row],[Mat. 1]],'Base de Dados'!$I$2:$M$21,5,0),"")</f>
        <v>1º</v>
      </c>
      <c r="L135" s="18" t="s">
        <v>73</v>
      </c>
      <c r="M135" s="18" t="s">
        <v>316</v>
      </c>
      <c r="N135" s="18" t="s">
        <v>558</v>
      </c>
      <c r="O135" s="18">
        <v>40</v>
      </c>
      <c r="P135" s="18">
        <v>0</v>
      </c>
      <c r="Q135" s="45" t="s">
        <v>431</v>
      </c>
      <c r="R135" s="18" t="s">
        <v>116</v>
      </c>
      <c r="S135" s="18" t="str">
        <f>IFERROR(VLOOKUP(Tabela1[[#This Row],[Cód. Causa]],'Base de Dados'!$O$2:$P$21,2,0),"")</f>
        <v xml:space="preserve">EQUIPAMENTO TRABALHANDO COM CARGA EXCESSIVA </v>
      </c>
      <c r="T135" s="18" t="str">
        <f>IFERROR(VLOOKUP(Tabela1[[#This Row],[Tag]],'Base de Dados'!$B$2:$C$64,2,0),"")</f>
        <v>PRENSA COM INJEÇÃO PU INNER 02</v>
      </c>
      <c r="U135" s="18" t="str">
        <f>IFERROR(VLOOKUP(Tabela1[[#This Row],[Tag]],'Base de Dados'!V135:W187,2,0),"")</f>
        <v/>
      </c>
      <c r="V135" s="18">
        <f>DAY(Tabela1[[#This Row],[Data]])</f>
        <v>22</v>
      </c>
      <c r="W135" s="18">
        <f>MONTH(Tabela1[[#This Row],[Data]])</f>
        <v>11</v>
      </c>
      <c r="X135" s="18">
        <f>YEAR(Tabela1[[#This Row],[Data]])</f>
        <v>2022</v>
      </c>
    </row>
    <row r="136" spans="1:24" x14ac:dyDescent="0.25">
      <c r="A136" s="22">
        <v>13955</v>
      </c>
      <c r="B136" s="21">
        <v>44887</v>
      </c>
      <c r="C136" s="23">
        <v>592</v>
      </c>
      <c r="D136" s="24"/>
      <c r="E136" s="24"/>
      <c r="F136" s="24"/>
      <c r="G136" s="18" t="str">
        <f>IFERROR(VLOOKUP(Tabela1[[#This Row],[Mat. 1]],'Base de Dados'!$I$5:$J$21,2,0),"")</f>
        <v>CRISTIANO</v>
      </c>
      <c r="H136" s="18" t="str">
        <f>IFERROR(VLOOKUP(Tabela1[[#This Row],[Mat. 2]],'Base de Dados'!$I$5:$J$21,2,0),"")</f>
        <v/>
      </c>
      <c r="I136" s="18" t="str">
        <f>IFERROR(VLOOKUP(Tabela1[[#This Row],[Mat. 3]],'Base de Dados'!$I$5:$J$21,2,0),"")</f>
        <v/>
      </c>
      <c r="J136" s="18" t="str">
        <f>IFERROR(VLOOKUP(Tabela1[[#This Row],[Mat. 4]],'Base de Dados'!$I$5:$J$21,2,0),"")</f>
        <v/>
      </c>
      <c r="K136" s="18" t="str">
        <f>IFERROR(VLOOKUP(Tabela1[[#This Row],[Mat. 1]],'Base de Dados'!$I$2:$M$21,5,0),"")</f>
        <v>1º</v>
      </c>
      <c r="L136" s="18" t="s">
        <v>11</v>
      </c>
      <c r="M136" s="18" t="s">
        <v>316</v>
      </c>
      <c r="N136" s="18" t="s">
        <v>558</v>
      </c>
      <c r="O136" s="18">
        <v>45</v>
      </c>
      <c r="P136" s="18">
        <v>0</v>
      </c>
      <c r="Q136" s="45" t="s">
        <v>432</v>
      </c>
      <c r="R136" s="18" t="s">
        <v>116</v>
      </c>
      <c r="S136" s="18" t="str">
        <f>IFERROR(VLOOKUP(Tabela1[[#This Row],[Cód. Causa]],'Base de Dados'!$O$2:$P$21,2,0),"")</f>
        <v xml:space="preserve">EQUIPAMENTO TRABALHANDO COM CARGA EXCESSIVA </v>
      </c>
      <c r="T136" s="18" t="str">
        <f>IFERROR(VLOOKUP(Tabela1[[#This Row],[Tag]],'Base de Dados'!$B$2:$C$64,2,0),"")</f>
        <v>INJETORA CANON</v>
      </c>
      <c r="U136" s="18" t="str">
        <f>IFERROR(VLOOKUP(Tabela1[[#This Row],[Tag]],'Base de Dados'!V136:W188,2,0),"")</f>
        <v/>
      </c>
      <c r="V136" s="18">
        <f>DAY(Tabela1[[#This Row],[Data]])</f>
        <v>22</v>
      </c>
      <c r="W136" s="18">
        <f>MONTH(Tabela1[[#This Row],[Data]])</f>
        <v>11</v>
      </c>
      <c r="X136" s="18">
        <f>YEAR(Tabela1[[#This Row],[Data]])</f>
        <v>2022</v>
      </c>
    </row>
    <row r="137" spans="1:24" hidden="1" x14ac:dyDescent="0.25">
      <c r="A137" s="22">
        <v>13956</v>
      </c>
      <c r="B137" s="21">
        <v>44887</v>
      </c>
      <c r="C137" s="23">
        <v>435</v>
      </c>
      <c r="D137" s="24"/>
      <c r="E137" s="24"/>
      <c r="F137" s="24"/>
      <c r="G137" s="18" t="str">
        <f>IFERROR(VLOOKUP(Tabela1[[#This Row],[Mat. 1]],'Base de Dados'!$I$5:$J$21,2,0),"")</f>
        <v>SILVIO</v>
      </c>
      <c r="H137" s="18" t="str">
        <f>IFERROR(VLOOKUP(Tabela1[[#This Row],[Mat. 2]],'Base de Dados'!$I$5:$J$21,2,0),"")</f>
        <v/>
      </c>
      <c r="I137" s="18" t="str">
        <f>IFERROR(VLOOKUP(Tabela1[[#This Row],[Mat. 3]],'Base de Dados'!$I$5:$J$21,2,0),"")</f>
        <v/>
      </c>
      <c r="J137" s="18" t="str">
        <f>IFERROR(VLOOKUP(Tabela1[[#This Row],[Mat. 4]],'Base de Dados'!$I$5:$J$21,2,0),"")</f>
        <v/>
      </c>
      <c r="K137" s="18" t="str">
        <f>IFERROR(VLOOKUP(Tabela1[[#This Row],[Mat. 1]],'Base de Dados'!$I$2:$M$21,5,0),"")</f>
        <v>1º</v>
      </c>
      <c r="L137" s="18" t="s">
        <v>21</v>
      </c>
      <c r="M137" s="18" t="s">
        <v>313</v>
      </c>
      <c r="N137" s="18" t="s">
        <v>558</v>
      </c>
      <c r="O137" s="18">
        <v>30</v>
      </c>
      <c r="P137" s="18">
        <v>0</v>
      </c>
      <c r="Q137" s="45" t="s">
        <v>433</v>
      </c>
      <c r="R137" s="18" t="s">
        <v>116</v>
      </c>
      <c r="S137" s="18" t="str">
        <f>IFERROR(VLOOKUP(Tabela1[[#This Row],[Cód. Causa]],'Base de Dados'!$O$2:$P$21,2,0),"")</f>
        <v xml:space="preserve">EQUIPAMENTO TRABALHANDO COM CARGA EXCESSIVA </v>
      </c>
      <c r="T137" s="18" t="str">
        <f>IFERROR(VLOOKUP(Tabela1[[#This Row],[Tag]],'Base de Dados'!$B$2:$C$64,2,0),"")</f>
        <v>INJETORA LEV CELL</v>
      </c>
      <c r="U137" s="18" t="str">
        <f>IFERROR(VLOOKUP(Tabela1[[#This Row],[Tag]],'Base de Dados'!V137:W189,2,0),"")</f>
        <v/>
      </c>
      <c r="V137" s="18">
        <f>DAY(Tabela1[[#This Row],[Data]])</f>
        <v>22</v>
      </c>
      <c r="W137" s="18">
        <f>MONTH(Tabela1[[#This Row],[Data]])</f>
        <v>11</v>
      </c>
      <c r="X137" s="18">
        <f>YEAR(Tabela1[[#This Row],[Data]])</f>
        <v>2022</v>
      </c>
    </row>
    <row r="138" spans="1:24" hidden="1" x14ac:dyDescent="0.25">
      <c r="A138" s="22">
        <v>13957</v>
      </c>
      <c r="B138" s="21">
        <v>44887</v>
      </c>
      <c r="C138" s="23">
        <v>435</v>
      </c>
      <c r="D138" s="24"/>
      <c r="E138" s="24"/>
      <c r="F138" s="24"/>
      <c r="G138" s="18" t="str">
        <f>IFERROR(VLOOKUP(Tabela1[[#This Row],[Mat. 1]],'Base de Dados'!$I$5:$J$21,2,0),"")</f>
        <v>SILVIO</v>
      </c>
      <c r="H138" s="18" t="str">
        <f>IFERROR(VLOOKUP(Tabela1[[#This Row],[Mat. 2]],'Base de Dados'!$I$5:$J$21,2,0),"")</f>
        <v/>
      </c>
      <c r="I138" s="18" t="str">
        <f>IFERROR(VLOOKUP(Tabela1[[#This Row],[Mat. 3]],'Base de Dados'!$I$5:$J$21,2,0),"")</f>
        <v/>
      </c>
      <c r="J138" s="18" t="str">
        <f>IFERROR(VLOOKUP(Tabela1[[#This Row],[Mat. 4]],'Base de Dados'!$I$5:$J$21,2,0),"")</f>
        <v/>
      </c>
      <c r="K138" s="18" t="str">
        <f>IFERROR(VLOOKUP(Tabela1[[#This Row],[Mat. 1]],'Base de Dados'!$I$2:$M$21,5,0),"")</f>
        <v>1º</v>
      </c>
      <c r="L138" s="18" t="s">
        <v>79</v>
      </c>
      <c r="M138" s="18" t="s">
        <v>313</v>
      </c>
      <c r="N138" s="18" t="s">
        <v>558</v>
      </c>
      <c r="O138" s="18">
        <v>25</v>
      </c>
      <c r="P138" s="18">
        <v>0</v>
      </c>
      <c r="Q138" s="45" t="s">
        <v>434</v>
      </c>
      <c r="R138" s="18" t="s">
        <v>34</v>
      </c>
      <c r="S138" s="18" t="str">
        <f>IFERROR(VLOOKUP(Tabela1[[#This Row],[Cód. Causa]],'Base de Dados'!$O$2:$P$21,2,0),"")</f>
        <v>FALHA EM COMPONENTES ELETRONICO</v>
      </c>
      <c r="T138" s="18" t="str">
        <f>IFERROR(VLOOKUP(Tabela1[[#This Row],[Tag]],'Base de Dados'!$B$2:$C$64,2,0),"")</f>
        <v>PRENSA COM INJEÇÃO PU INNER 03</v>
      </c>
      <c r="U138" s="18" t="str">
        <f>IFERROR(VLOOKUP(Tabela1[[#This Row],[Tag]],'Base de Dados'!V138:W190,2,0),"")</f>
        <v/>
      </c>
      <c r="V138" s="18">
        <f>DAY(Tabela1[[#This Row],[Data]])</f>
        <v>22</v>
      </c>
      <c r="W138" s="18">
        <f>MONTH(Tabela1[[#This Row],[Data]])</f>
        <v>11</v>
      </c>
      <c r="X138" s="18">
        <f>YEAR(Tabela1[[#This Row],[Data]])</f>
        <v>2022</v>
      </c>
    </row>
    <row r="139" spans="1:24" hidden="1" x14ac:dyDescent="0.25">
      <c r="A139" s="22">
        <v>13958</v>
      </c>
      <c r="B139" s="21">
        <v>44887</v>
      </c>
      <c r="C139" s="23">
        <v>185</v>
      </c>
      <c r="D139" s="24"/>
      <c r="E139" s="24"/>
      <c r="F139" s="24"/>
      <c r="G139" s="18" t="str">
        <f>IFERROR(VLOOKUP(Tabela1[[#This Row],[Mat. 1]],'Base de Dados'!$I$5:$J$21,2,0),"")</f>
        <v>FELIPE</v>
      </c>
      <c r="H139" s="18" t="str">
        <f>IFERROR(VLOOKUP(Tabela1[[#This Row],[Mat. 2]],'Base de Dados'!$I$5:$J$21,2,0),"")</f>
        <v/>
      </c>
      <c r="I139" s="18" t="str">
        <f>IFERROR(VLOOKUP(Tabela1[[#This Row],[Mat. 3]],'Base de Dados'!$I$5:$J$21,2,0),"")</f>
        <v/>
      </c>
      <c r="J139" s="18" t="str">
        <f>IFERROR(VLOOKUP(Tabela1[[#This Row],[Mat. 4]],'Base de Dados'!$I$5:$J$21,2,0),"")</f>
        <v/>
      </c>
      <c r="K139" s="18" t="str">
        <f>IFERROR(VLOOKUP(Tabela1[[#This Row],[Mat. 1]],'Base de Dados'!$I$2:$M$21,5,0),"")</f>
        <v>1º</v>
      </c>
      <c r="L139" s="18" t="s">
        <v>73</v>
      </c>
      <c r="M139" s="18" t="s">
        <v>316</v>
      </c>
      <c r="N139" s="18" t="s">
        <v>558</v>
      </c>
      <c r="O139" s="18">
        <v>41</v>
      </c>
      <c r="P139" s="18">
        <v>0</v>
      </c>
      <c r="Q139" s="45" t="s">
        <v>435</v>
      </c>
      <c r="R139" s="18" t="s">
        <v>116</v>
      </c>
      <c r="S139" s="18" t="str">
        <f>IFERROR(VLOOKUP(Tabela1[[#This Row],[Cód. Causa]],'Base de Dados'!$O$2:$P$21,2,0),"")</f>
        <v xml:space="preserve">EQUIPAMENTO TRABALHANDO COM CARGA EXCESSIVA </v>
      </c>
      <c r="T139" s="18" t="str">
        <f>IFERROR(VLOOKUP(Tabela1[[#This Row],[Tag]],'Base de Dados'!$B$2:$C$64,2,0),"")</f>
        <v>PRENSA COM INJEÇÃO PU INNER 02</v>
      </c>
      <c r="U139" s="18" t="str">
        <f>IFERROR(VLOOKUP(Tabela1[[#This Row],[Tag]],'Base de Dados'!V139:W191,2,0),"")</f>
        <v/>
      </c>
      <c r="V139" s="18">
        <f>DAY(Tabela1[[#This Row],[Data]])</f>
        <v>22</v>
      </c>
      <c r="W139" s="18">
        <f>MONTH(Tabela1[[#This Row],[Data]])</f>
        <v>11</v>
      </c>
      <c r="X139" s="18">
        <f>YEAR(Tabela1[[#This Row],[Data]])</f>
        <v>2022</v>
      </c>
    </row>
    <row r="140" spans="1:24" hidden="1" x14ac:dyDescent="0.25">
      <c r="A140" s="22">
        <v>13959</v>
      </c>
      <c r="B140" s="21">
        <v>44887</v>
      </c>
      <c r="C140" s="23">
        <v>677</v>
      </c>
      <c r="D140" s="24"/>
      <c r="E140" s="24"/>
      <c r="F140" s="24"/>
      <c r="G140" s="18" t="str">
        <f>IFERROR(VLOOKUP(Tabela1[[#This Row],[Mat. 1]],'Base de Dados'!$I$5:$J$21,2,0),"")</f>
        <v>RAFAEL</v>
      </c>
      <c r="H140" s="18" t="str">
        <f>IFERROR(VLOOKUP(Tabela1[[#This Row],[Mat. 2]],'Base de Dados'!$I$5:$J$21,2,0),"")</f>
        <v/>
      </c>
      <c r="I140" s="18" t="str">
        <f>IFERROR(VLOOKUP(Tabela1[[#This Row],[Mat. 3]],'Base de Dados'!$I$5:$J$21,2,0),"")</f>
        <v/>
      </c>
      <c r="J140" s="18" t="str">
        <f>IFERROR(VLOOKUP(Tabela1[[#This Row],[Mat. 4]],'Base de Dados'!$I$5:$J$21,2,0),"")</f>
        <v/>
      </c>
      <c r="K140" s="18" t="str">
        <f>IFERROR(VLOOKUP(Tabela1[[#This Row],[Mat. 1]],'Base de Dados'!$I$2:$M$21,5,0),"")</f>
        <v>2º</v>
      </c>
      <c r="L140" s="18" t="s">
        <v>85</v>
      </c>
      <c r="M140" s="18" t="s">
        <v>316</v>
      </c>
      <c r="N140" s="18" t="s">
        <v>558</v>
      </c>
      <c r="O140" s="18">
        <v>10</v>
      </c>
      <c r="P140" s="18">
        <v>0</v>
      </c>
      <c r="Q140" s="45" t="s">
        <v>436</v>
      </c>
      <c r="R140" s="18" t="s">
        <v>116</v>
      </c>
      <c r="S140" s="18" t="str">
        <f>IFERROR(VLOOKUP(Tabela1[[#This Row],[Cód. Causa]],'Base de Dados'!$O$2:$P$21,2,0),"")</f>
        <v xml:space="preserve">EQUIPAMENTO TRABALHANDO COM CARGA EXCESSIVA </v>
      </c>
      <c r="T140" s="18" t="str">
        <f>IFERROR(VLOOKUP(Tabela1[[#This Row],[Tag]],'Base de Dados'!$B$2:$C$64,2,0),"")</f>
        <v>INJETORA INNER DASH</v>
      </c>
      <c r="U140" s="18" t="str">
        <f>IFERROR(VLOOKUP(Tabela1[[#This Row],[Tag]],'Base de Dados'!V140:W192,2,0),"")</f>
        <v/>
      </c>
      <c r="V140" s="18">
        <f>DAY(Tabela1[[#This Row],[Data]])</f>
        <v>22</v>
      </c>
      <c r="W140" s="18">
        <f>MONTH(Tabela1[[#This Row],[Data]])</f>
        <v>11</v>
      </c>
      <c r="X140" s="18">
        <f>YEAR(Tabela1[[#This Row],[Data]])</f>
        <v>2022</v>
      </c>
    </row>
    <row r="141" spans="1:24" hidden="1" x14ac:dyDescent="0.25">
      <c r="A141" s="22">
        <v>13960</v>
      </c>
      <c r="B141" s="21">
        <v>44887</v>
      </c>
      <c r="C141" s="23">
        <v>248</v>
      </c>
      <c r="D141" s="24"/>
      <c r="E141" s="24"/>
      <c r="F141" s="24"/>
      <c r="G141" s="18" t="str">
        <f>IFERROR(VLOOKUP(Tabela1[[#This Row],[Mat. 1]],'Base de Dados'!$I$5:$J$21,2,0),"")</f>
        <v>RUIGUENS</v>
      </c>
      <c r="H141" s="18" t="str">
        <f>IFERROR(VLOOKUP(Tabela1[[#This Row],[Mat. 2]],'Base de Dados'!$I$5:$J$21,2,0),"")</f>
        <v/>
      </c>
      <c r="I141" s="18" t="str">
        <f>IFERROR(VLOOKUP(Tabela1[[#This Row],[Mat. 3]],'Base de Dados'!$I$5:$J$21,2,0),"")</f>
        <v/>
      </c>
      <c r="J141" s="18" t="str">
        <f>IFERROR(VLOOKUP(Tabela1[[#This Row],[Mat. 4]],'Base de Dados'!$I$5:$J$21,2,0),"")</f>
        <v/>
      </c>
      <c r="K141" s="18" t="str">
        <f>IFERROR(VLOOKUP(Tabela1[[#This Row],[Mat. 1]],'Base de Dados'!$I$2:$M$21,5,0),"")</f>
        <v>2º</v>
      </c>
      <c r="L141" s="18" t="s">
        <v>79</v>
      </c>
      <c r="M141" s="18" t="s">
        <v>316</v>
      </c>
      <c r="N141" s="18" t="s">
        <v>558</v>
      </c>
      <c r="O141" s="18">
        <v>20</v>
      </c>
      <c r="P141" s="18">
        <v>0</v>
      </c>
      <c r="Q141" s="45" t="s">
        <v>437</v>
      </c>
      <c r="R141" s="18" t="s">
        <v>116</v>
      </c>
      <c r="S141" s="18" t="str">
        <f>IFERROR(VLOOKUP(Tabela1[[#This Row],[Cód. Causa]],'Base de Dados'!$O$2:$P$21,2,0),"")</f>
        <v xml:space="preserve">EQUIPAMENTO TRABALHANDO COM CARGA EXCESSIVA </v>
      </c>
      <c r="T141" s="18" t="str">
        <f>IFERROR(VLOOKUP(Tabela1[[#This Row],[Tag]],'Base de Dados'!$B$2:$C$64,2,0),"")</f>
        <v>PRENSA COM INJEÇÃO PU INNER 03</v>
      </c>
      <c r="U141" s="18" t="str">
        <f>IFERROR(VLOOKUP(Tabela1[[#This Row],[Tag]],'Base de Dados'!V141:W193,2,0),"")</f>
        <v/>
      </c>
      <c r="V141" s="18">
        <f>DAY(Tabela1[[#This Row],[Data]])</f>
        <v>22</v>
      </c>
      <c r="W141" s="18">
        <f>MONTH(Tabela1[[#This Row],[Data]])</f>
        <v>11</v>
      </c>
      <c r="X141" s="18">
        <f>YEAR(Tabela1[[#This Row],[Data]])</f>
        <v>2022</v>
      </c>
    </row>
    <row r="142" spans="1:24" hidden="1" x14ac:dyDescent="0.25">
      <c r="A142" s="22">
        <v>14025</v>
      </c>
      <c r="B142" s="21">
        <v>44887</v>
      </c>
      <c r="C142" s="23">
        <v>721</v>
      </c>
      <c r="D142" s="24"/>
      <c r="E142" s="24"/>
      <c r="F142" s="24"/>
      <c r="G142" s="18" t="str">
        <f>IFERROR(VLOOKUP(Tabela1[[#This Row],[Mat. 1]],'Base de Dados'!$I$5:$J$21,2,0),"")</f>
        <v>GENILSON</v>
      </c>
      <c r="H142" s="18" t="str">
        <f>IFERROR(VLOOKUP(Tabela1[[#This Row],[Mat. 2]],'Base de Dados'!$I$5:$J$21,2,0),"")</f>
        <v/>
      </c>
      <c r="I142" s="18" t="str">
        <f>IFERROR(VLOOKUP(Tabela1[[#This Row],[Mat. 3]],'Base de Dados'!$I$5:$J$21,2,0),"")</f>
        <v/>
      </c>
      <c r="J142" s="18" t="str">
        <f>IFERROR(VLOOKUP(Tabela1[[#This Row],[Mat. 4]],'Base de Dados'!$I$5:$J$21,2,0),"")</f>
        <v/>
      </c>
      <c r="K142" s="18" t="str">
        <f>IFERROR(VLOOKUP(Tabela1[[#This Row],[Mat. 1]],'Base de Dados'!$I$2:$M$21,5,0),"")</f>
        <v>1º</v>
      </c>
      <c r="L142" s="18" t="s">
        <v>179</v>
      </c>
      <c r="M142" s="18" t="s">
        <v>316</v>
      </c>
      <c r="N142" s="18" t="s">
        <v>558</v>
      </c>
      <c r="O142" s="18">
        <v>30</v>
      </c>
      <c r="P142" s="18">
        <v>0</v>
      </c>
      <c r="Q142" s="45" t="s">
        <v>438</v>
      </c>
      <c r="R142" s="18" t="s">
        <v>116</v>
      </c>
      <c r="S142" s="18" t="str">
        <f>IFERROR(VLOOKUP(Tabela1[[#This Row],[Cód. Causa]],'Base de Dados'!$O$2:$P$21,2,0),"")</f>
        <v xml:space="preserve">EQUIPAMENTO TRABALHANDO COM CARGA EXCESSIVA </v>
      </c>
      <c r="T142" s="18" t="str">
        <f>IFERROR(VLOOKUP(Tabela1[[#This Row],[Tag]],'Base de Dados'!$B$2:$C$64,2,0),"")</f>
        <v>PRENSA COM INJEÇÃO PU 2</v>
      </c>
      <c r="U142" s="18" t="str">
        <f>IFERROR(VLOOKUP(Tabela1[[#This Row],[Tag]],'Base de Dados'!V142:W194,2,0),"")</f>
        <v/>
      </c>
      <c r="V142" s="18">
        <f>DAY(Tabela1[[#This Row],[Data]])</f>
        <v>22</v>
      </c>
      <c r="W142" s="18">
        <f>MONTH(Tabela1[[#This Row],[Data]])</f>
        <v>11</v>
      </c>
      <c r="X142" s="18">
        <f>YEAR(Tabela1[[#This Row],[Data]])</f>
        <v>2022</v>
      </c>
    </row>
    <row r="143" spans="1:24" hidden="1" x14ac:dyDescent="0.25">
      <c r="A143" s="22">
        <v>14026</v>
      </c>
      <c r="B143" s="21">
        <v>44887</v>
      </c>
      <c r="C143" s="23">
        <v>15</v>
      </c>
      <c r="D143" s="24">
        <v>721</v>
      </c>
      <c r="E143" s="24"/>
      <c r="F143" s="24"/>
      <c r="G143" s="18" t="str">
        <f>IFERROR(VLOOKUP(Tabela1[[#This Row],[Mat. 1]],'Base de Dados'!$I$5:$J$21,2,0),"")</f>
        <v>ROBERT</v>
      </c>
      <c r="H143" s="18" t="str">
        <f>IFERROR(VLOOKUP(Tabela1[[#This Row],[Mat. 2]],'Base de Dados'!$I$5:$J$21,2,0),"")</f>
        <v>GENILSON</v>
      </c>
      <c r="I143" s="18" t="str">
        <f>IFERROR(VLOOKUP(Tabela1[[#This Row],[Mat. 3]],'Base de Dados'!$I$5:$J$21,2,0),"")</f>
        <v/>
      </c>
      <c r="J143" s="18" t="str">
        <f>IFERROR(VLOOKUP(Tabela1[[#This Row],[Mat. 4]],'Base de Dados'!$I$5:$J$21,2,0),"")</f>
        <v/>
      </c>
      <c r="K143" s="18" t="str">
        <f>IFERROR(VLOOKUP(Tabela1[[#This Row],[Mat. 1]],'Base de Dados'!$I$2:$M$21,5,0),"")</f>
        <v>1º</v>
      </c>
      <c r="L143" s="18" t="s">
        <v>179</v>
      </c>
      <c r="M143" s="18" t="s">
        <v>316</v>
      </c>
      <c r="N143" s="18" t="s">
        <v>558</v>
      </c>
      <c r="O143" s="18">
        <v>65</v>
      </c>
      <c r="P143" s="18">
        <v>0</v>
      </c>
      <c r="Q143" s="45" t="s">
        <v>439</v>
      </c>
      <c r="R143" s="18" t="s">
        <v>116</v>
      </c>
      <c r="S143" s="18" t="str">
        <f>IFERROR(VLOOKUP(Tabela1[[#This Row],[Cód. Causa]],'Base de Dados'!$O$2:$P$21,2,0),"")</f>
        <v xml:space="preserve">EQUIPAMENTO TRABALHANDO COM CARGA EXCESSIVA </v>
      </c>
      <c r="T143" s="18" t="str">
        <f>IFERROR(VLOOKUP(Tabela1[[#This Row],[Tag]],'Base de Dados'!$B$2:$C$64,2,0),"")</f>
        <v>PRENSA COM INJEÇÃO PU 2</v>
      </c>
      <c r="U143" s="18" t="str">
        <f>IFERROR(VLOOKUP(Tabela1[[#This Row],[Tag]],'Base de Dados'!V143:W195,2,0),"")</f>
        <v/>
      </c>
      <c r="V143" s="18">
        <f>DAY(Tabela1[[#This Row],[Data]])</f>
        <v>22</v>
      </c>
      <c r="W143" s="18">
        <f>MONTH(Tabela1[[#This Row],[Data]])</f>
        <v>11</v>
      </c>
      <c r="X143" s="18">
        <f>YEAR(Tabela1[[#This Row],[Data]])</f>
        <v>2022</v>
      </c>
    </row>
    <row r="144" spans="1:24" hidden="1" x14ac:dyDescent="0.25">
      <c r="A144" s="22">
        <v>14028</v>
      </c>
      <c r="B144" s="21">
        <v>44887</v>
      </c>
      <c r="C144" s="23">
        <v>73</v>
      </c>
      <c r="D144" s="24"/>
      <c r="E144" s="24"/>
      <c r="F144" s="24"/>
      <c r="G144" s="18" t="str">
        <f>IFERROR(VLOOKUP(Tabela1[[#This Row],[Mat. 1]],'Base de Dados'!$I$5:$J$21,2,0),"")</f>
        <v>VALDEMAR</v>
      </c>
      <c r="H144" s="18" t="str">
        <f>IFERROR(VLOOKUP(Tabela1[[#This Row],[Mat. 2]],'Base de Dados'!$I$5:$J$21,2,0),"")</f>
        <v/>
      </c>
      <c r="I144" s="18" t="str">
        <f>IFERROR(VLOOKUP(Tabela1[[#This Row],[Mat. 3]],'Base de Dados'!$I$5:$J$21,2,0),"")</f>
        <v/>
      </c>
      <c r="J144" s="18" t="str">
        <f>IFERROR(VLOOKUP(Tabela1[[#This Row],[Mat. 4]],'Base de Dados'!$I$5:$J$21,2,0),"")</f>
        <v/>
      </c>
      <c r="K144" s="18" t="str">
        <f>IFERROR(VLOOKUP(Tabela1[[#This Row],[Mat. 1]],'Base de Dados'!$I$2:$M$21,5,0),"")</f>
        <v>3º</v>
      </c>
      <c r="L144" s="18" t="s">
        <v>185</v>
      </c>
      <c r="M144" s="18" t="s">
        <v>316</v>
      </c>
      <c r="N144" s="18" t="s">
        <v>558</v>
      </c>
      <c r="O144" s="18">
        <v>15</v>
      </c>
      <c r="P144" s="18">
        <v>0</v>
      </c>
      <c r="Q144" s="45" t="s">
        <v>260</v>
      </c>
      <c r="R144" s="18" t="s">
        <v>116</v>
      </c>
      <c r="S144" s="18" t="str">
        <f>IFERROR(VLOOKUP(Tabela1[[#This Row],[Cód. Causa]],'Base de Dados'!$O$2:$P$21,2,0),"")</f>
        <v xml:space="preserve">EQUIPAMENTO TRABALHANDO COM CARGA EXCESSIVA </v>
      </c>
      <c r="T144" s="18" t="str">
        <f>IFERROR(VLOOKUP(Tabela1[[#This Row],[Tag]],'Base de Dados'!$B$2:$C$64,2,0),"")</f>
        <v>CORTE DO CARPETE- WATER JET</v>
      </c>
      <c r="U144" s="18" t="str">
        <f>IFERROR(VLOOKUP(Tabela1[[#This Row],[Tag]],'Base de Dados'!V144:W196,2,0),"")</f>
        <v/>
      </c>
      <c r="V144" s="18">
        <f>DAY(Tabela1[[#This Row],[Data]])</f>
        <v>22</v>
      </c>
      <c r="W144" s="18">
        <f>MONTH(Tabela1[[#This Row],[Data]])</f>
        <v>11</v>
      </c>
      <c r="X144" s="18">
        <f>YEAR(Tabela1[[#This Row],[Data]])</f>
        <v>2022</v>
      </c>
    </row>
    <row r="145" spans="1:24" hidden="1" x14ac:dyDescent="0.25">
      <c r="A145" s="22">
        <v>15024</v>
      </c>
      <c r="B145" s="21">
        <v>44887</v>
      </c>
      <c r="C145" s="23">
        <v>592</v>
      </c>
      <c r="D145" s="24"/>
      <c r="E145" s="24"/>
      <c r="F145" s="24"/>
      <c r="G145" s="18" t="str">
        <f>IFERROR(VLOOKUP(Tabela1[[#This Row],[Mat. 1]],'Base de Dados'!$I$5:$J$21,2,0),"")</f>
        <v>CRISTIANO</v>
      </c>
      <c r="H145" s="18" t="str">
        <f>IFERROR(VLOOKUP(Tabela1[[#This Row],[Mat. 2]],'Base de Dados'!$I$5:$J$21,2,0),"")</f>
        <v/>
      </c>
      <c r="I145" s="18" t="str">
        <f>IFERROR(VLOOKUP(Tabela1[[#This Row],[Mat. 3]],'Base de Dados'!$I$5:$J$21,2,0),"")</f>
        <v/>
      </c>
      <c r="J145" s="18" t="str">
        <f>IFERROR(VLOOKUP(Tabela1[[#This Row],[Mat. 4]],'Base de Dados'!$I$5:$J$21,2,0),"")</f>
        <v/>
      </c>
      <c r="K145" s="18" t="str">
        <f>IFERROR(VLOOKUP(Tabela1[[#This Row],[Mat. 1]],'Base de Dados'!$I$2:$M$21,5,0),"")</f>
        <v>1º</v>
      </c>
      <c r="L145" s="18" t="s">
        <v>187</v>
      </c>
      <c r="M145" s="18" t="s">
        <v>316</v>
      </c>
      <c r="N145" s="18" t="s">
        <v>558</v>
      </c>
      <c r="O145" s="18">
        <v>35</v>
      </c>
      <c r="P145" s="18">
        <v>0</v>
      </c>
      <c r="Q145" s="45" t="s">
        <v>259</v>
      </c>
      <c r="R145" s="18" t="s">
        <v>116</v>
      </c>
      <c r="S145" s="18" t="str">
        <f>IFERROR(VLOOKUP(Tabela1[[#This Row],[Cód. Causa]],'Base de Dados'!$O$2:$P$21,2,0),"")</f>
        <v xml:space="preserve">EQUIPAMENTO TRABALHANDO COM CARGA EXCESSIVA </v>
      </c>
      <c r="T145" s="18" t="str">
        <f>IFERROR(VLOOKUP(Tabela1[[#This Row],[Tag]],'Base de Dados'!$B$2:$C$64,2,0),"")</f>
        <v>CORTE DO CARPETE- WATER JET</v>
      </c>
      <c r="U145" s="18" t="str">
        <f>IFERROR(VLOOKUP(Tabela1[[#This Row],[Tag]],'Base de Dados'!V145:W197,2,0),"")</f>
        <v/>
      </c>
      <c r="V145" s="18">
        <f>DAY(Tabela1[[#This Row],[Data]])</f>
        <v>22</v>
      </c>
      <c r="W145" s="18">
        <f>MONTH(Tabela1[[#This Row],[Data]])</f>
        <v>11</v>
      </c>
      <c r="X145" s="18">
        <f>YEAR(Tabela1[[#This Row],[Data]])</f>
        <v>2022</v>
      </c>
    </row>
    <row r="146" spans="1:24" hidden="1" x14ac:dyDescent="0.25">
      <c r="A146" s="22">
        <v>15027</v>
      </c>
      <c r="B146" s="21">
        <v>44887</v>
      </c>
      <c r="C146" s="23">
        <v>73</v>
      </c>
      <c r="D146" s="24"/>
      <c r="E146" s="24"/>
      <c r="F146" s="24"/>
      <c r="G146" s="18" t="str">
        <f>IFERROR(VLOOKUP(Tabela1[[#This Row],[Mat. 1]],'Base de Dados'!$I$5:$J$21,2,0),"")</f>
        <v>VALDEMAR</v>
      </c>
      <c r="H146" s="18" t="str">
        <f>IFERROR(VLOOKUP(Tabela1[[#This Row],[Mat. 2]],'Base de Dados'!$I$5:$J$21,2,0),"")</f>
        <v/>
      </c>
      <c r="I146" s="18" t="str">
        <f>IFERROR(VLOOKUP(Tabela1[[#This Row],[Mat. 3]],'Base de Dados'!$I$5:$J$21,2,0),"")</f>
        <v/>
      </c>
      <c r="J146" s="18" t="str">
        <f>IFERROR(VLOOKUP(Tabela1[[#This Row],[Mat. 4]],'Base de Dados'!$I$5:$J$21,2,0),"")</f>
        <v/>
      </c>
      <c r="K146" s="18" t="str">
        <f>IFERROR(VLOOKUP(Tabela1[[#This Row],[Mat. 1]],'Base de Dados'!$I$2:$M$21,5,0),"")</f>
        <v>3º</v>
      </c>
      <c r="L146" s="18" t="s">
        <v>187</v>
      </c>
      <c r="M146" s="18" t="s">
        <v>316</v>
      </c>
      <c r="N146" s="18" t="s">
        <v>558</v>
      </c>
      <c r="O146" s="18">
        <v>20</v>
      </c>
      <c r="P146" s="18">
        <v>0</v>
      </c>
      <c r="Q146" s="45" t="s">
        <v>440</v>
      </c>
      <c r="R146" s="18" t="s">
        <v>116</v>
      </c>
      <c r="S146" s="18" t="str">
        <f>IFERROR(VLOOKUP(Tabela1[[#This Row],[Cód. Causa]],'Base de Dados'!$O$2:$P$21,2,0),"")</f>
        <v xml:space="preserve">EQUIPAMENTO TRABALHANDO COM CARGA EXCESSIVA </v>
      </c>
      <c r="T146" s="18" t="str">
        <f>IFERROR(VLOOKUP(Tabela1[[#This Row],[Tag]],'Base de Dados'!$B$2:$C$64,2,0),"")</f>
        <v>CORTE DO CARPETE- WATER JET</v>
      </c>
      <c r="U146" s="18" t="str">
        <f>IFERROR(VLOOKUP(Tabela1[[#This Row],[Tag]],'Base de Dados'!V146:W198,2,0),"")</f>
        <v/>
      </c>
      <c r="V146" s="18">
        <f>DAY(Tabela1[[#This Row],[Data]])</f>
        <v>22</v>
      </c>
      <c r="W146" s="18">
        <f>MONTH(Tabela1[[#This Row],[Data]])</f>
        <v>11</v>
      </c>
      <c r="X146" s="18">
        <f>YEAR(Tabela1[[#This Row],[Data]])</f>
        <v>2022</v>
      </c>
    </row>
    <row r="147" spans="1:24" hidden="1" x14ac:dyDescent="0.25">
      <c r="A147" s="22">
        <v>12181</v>
      </c>
      <c r="B147" s="21">
        <v>44888</v>
      </c>
      <c r="C147" s="23">
        <v>631</v>
      </c>
      <c r="D147" s="24">
        <v>540</v>
      </c>
      <c r="E147" s="24"/>
      <c r="F147" s="24"/>
      <c r="G147" s="18" t="str">
        <f>IFERROR(VLOOKUP(Tabela1[[#This Row],[Mat. 1]],'Base de Dados'!$I$5:$J$21,2,0),"")</f>
        <v>JOSINALDO</v>
      </c>
      <c r="H147" s="18" t="str">
        <f>IFERROR(VLOOKUP(Tabela1[[#This Row],[Mat. 2]],'Base de Dados'!$I$5:$J$21,2,0),"")</f>
        <v>ANDERSON</v>
      </c>
      <c r="I147" s="18" t="str">
        <f>IFERROR(VLOOKUP(Tabela1[[#This Row],[Mat. 3]],'Base de Dados'!$I$5:$J$21,2,0),"")</f>
        <v/>
      </c>
      <c r="J147" s="18" t="str">
        <f>IFERROR(VLOOKUP(Tabela1[[#This Row],[Mat. 4]],'Base de Dados'!$I$5:$J$21,2,0),"")</f>
        <v/>
      </c>
      <c r="K147" s="18" t="str">
        <f>IFERROR(VLOOKUP(Tabela1[[#This Row],[Mat. 1]],'Base de Dados'!$I$2:$M$21,5,0),"")</f>
        <v>2º</v>
      </c>
      <c r="L147" s="18" t="s">
        <v>104</v>
      </c>
      <c r="M147" s="18" t="s">
        <v>313</v>
      </c>
      <c r="N147" s="18" t="s">
        <v>558</v>
      </c>
      <c r="O147" s="18">
        <v>15</v>
      </c>
      <c r="P147" s="18">
        <v>0</v>
      </c>
      <c r="Q147" s="45" t="s">
        <v>441</v>
      </c>
      <c r="R147" s="18" t="s">
        <v>34</v>
      </c>
      <c r="S147" s="18" t="str">
        <f>IFERROR(VLOOKUP(Tabela1[[#This Row],[Cód. Causa]],'Base de Dados'!$O$2:$P$21,2,0),"")</f>
        <v>FALHA EM COMPONENTES ELETRONICO</v>
      </c>
      <c r="T147" s="18" t="str">
        <f>IFERROR(VLOOKUP(Tabela1[[#This Row],[Tag]],'Base de Dados'!$B$2:$C$64,2,0),"")</f>
        <v>PRENSA MOLDAGEM 2</v>
      </c>
      <c r="U147" s="18" t="str">
        <f>IFERROR(VLOOKUP(Tabela1[[#This Row],[Tag]],'Base de Dados'!V147:W199,2,0),"")</f>
        <v/>
      </c>
      <c r="V147" s="18">
        <f>DAY(Tabela1[[#This Row],[Data]])</f>
        <v>23</v>
      </c>
      <c r="W147" s="18">
        <f>MONTH(Tabela1[[#This Row],[Data]])</f>
        <v>11</v>
      </c>
      <c r="X147" s="18">
        <f>YEAR(Tabela1[[#This Row],[Data]])</f>
        <v>2022</v>
      </c>
    </row>
    <row r="148" spans="1:24" hidden="1" x14ac:dyDescent="0.25">
      <c r="A148" s="22">
        <v>12983</v>
      </c>
      <c r="B148" s="21">
        <v>44888</v>
      </c>
      <c r="C148" s="23">
        <v>739</v>
      </c>
      <c r="D148" s="24"/>
      <c r="E148" s="24"/>
      <c r="F148" s="24"/>
      <c r="G148" s="18" t="str">
        <f>IFERROR(VLOOKUP(Tabela1[[#This Row],[Mat. 1]],'Base de Dados'!$I$5:$J$21,2,0),"")</f>
        <v>DANILLO</v>
      </c>
      <c r="H148" s="18" t="str">
        <f>IFERROR(VLOOKUP(Tabela1[[#This Row],[Mat. 2]],'Base de Dados'!$I$5:$J$21,2,0),"")</f>
        <v/>
      </c>
      <c r="I148" s="18" t="str">
        <f>IFERROR(VLOOKUP(Tabela1[[#This Row],[Mat. 3]],'Base de Dados'!$I$5:$J$21,2,0),"")</f>
        <v/>
      </c>
      <c r="J148" s="18" t="str">
        <f>IFERROR(VLOOKUP(Tabela1[[#This Row],[Mat. 4]],'Base de Dados'!$I$5:$J$21,2,0),"")</f>
        <v/>
      </c>
      <c r="K148" s="18" t="str">
        <f>IFERROR(VLOOKUP(Tabela1[[#This Row],[Mat. 1]],'Base de Dados'!$I$2:$M$21,5,0),"")</f>
        <v>1º</v>
      </c>
      <c r="L148" s="18" t="s">
        <v>98</v>
      </c>
      <c r="M148" s="18" t="s">
        <v>316</v>
      </c>
      <c r="N148" s="18" t="s">
        <v>558</v>
      </c>
      <c r="O148" s="18">
        <v>30</v>
      </c>
      <c r="P148" s="18">
        <v>0</v>
      </c>
      <c r="Q148" s="45" t="s">
        <v>442</v>
      </c>
      <c r="R148" s="18" t="s">
        <v>116</v>
      </c>
      <c r="S148" s="18" t="str">
        <f>IFERROR(VLOOKUP(Tabela1[[#This Row],[Cód. Causa]],'Base de Dados'!$O$2:$P$21,2,0),"")</f>
        <v xml:space="preserve">EQUIPAMENTO TRABALHANDO COM CARGA EXCESSIVA </v>
      </c>
      <c r="T148" s="18" t="str">
        <f>IFERROR(VLOOKUP(Tabela1[[#This Row],[Tag]],'Base de Dados'!$B$2:$C$64,2,0),"")</f>
        <v>PRENSA MOLDAGEM 1</v>
      </c>
      <c r="U148" s="18" t="str">
        <f>IFERROR(VLOOKUP(Tabela1[[#This Row],[Tag]],'Base de Dados'!V148:W200,2,0),"")</f>
        <v/>
      </c>
      <c r="V148" s="18">
        <f>DAY(Tabela1[[#This Row],[Data]])</f>
        <v>23</v>
      </c>
      <c r="W148" s="18">
        <f>MONTH(Tabela1[[#This Row],[Data]])</f>
        <v>11</v>
      </c>
      <c r="X148" s="18">
        <f>YEAR(Tabela1[[#This Row],[Data]])</f>
        <v>2022</v>
      </c>
    </row>
    <row r="149" spans="1:24" hidden="1" x14ac:dyDescent="0.25">
      <c r="A149" s="22">
        <v>12984</v>
      </c>
      <c r="B149" s="21">
        <v>44888</v>
      </c>
      <c r="C149" s="23">
        <v>435</v>
      </c>
      <c r="D149" s="24"/>
      <c r="E149" s="24"/>
      <c r="F149" s="24"/>
      <c r="G149" s="18" t="str">
        <f>IFERROR(VLOOKUP(Tabela1[[#This Row],[Mat. 1]],'Base de Dados'!$I$5:$J$21,2,0),"")</f>
        <v>SILVIO</v>
      </c>
      <c r="H149" s="18" t="str">
        <f>IFERROR(VLOOKUP(Tabela1[[#This Row],[Mat. 2]],'Base de Dados'!$I$5:$J$21,2,0),"")</f>
        <v/>
      </c>
      <c r="I149" s="18" t="str">
        <f>IFERROR(VLOOKUP(Tabela1[[#This Row],[Mat. 3]],'Base de Dados'!$I$5:$J$21,2,0),"")</f>
        <v/>
      </c>
      <c r="J149" s="18" t="str">
        <f>IFERROR(VLOOKUP(Tabela1[[#This Row],[Mat. 4]],'Base de Dados'!$I$5:$J$21,2,0),"")</f>
        <v/>
      </c>
      <c r="K149" s="18" t="str">
        <f>IFERROR(VLOOKUP(Tabela1[[#This Row],[Mat. 1]],'Base de Dados'!$I$2:$M$21,5,0),"")</f>
        <v>1º</v>
      </c>
      <c r="L149" s="18" t="s">
        <v>98</v>
      </c>
      <c r="M149" s="18" t="s">
        <v>313</v>
      </c>
      <c r="N149" s="18" t="s">
        <v>558</v>
      </c>
      <c r="O149" s="18">
        <v>60</v>
      </c>
      <c r="P149" s="18">
        <v>0</v>
      </c>
      <c r="Q149" s="45" t="s">
        <v>443</v>
      </c>
      <c r="R149" s="18" t="s">
        <v>116</v>
      </c>
      <c r="S149" s="18" t="str">
        <f>IFERROR(VLOOKUP(Tabela1[[#This Row],[Cód. Causa]],'Base de Dados'!$O$2:$P$21,2,0),"")</f>
        <v xml:space="preserve">EQUIPAMENTO TRABALHANDO COM CARGA EXCESSIVA </v>
      </c>
      <c r="T149" s="18" t="str">
        <f>IFERROR(VLOOKUP(Tabela1[[#This Row],[Tag]],'Base de Dados'!$B$2:$C$64,2,0),"")</f>
        <v>PRENSA MOLDAGEM 1</v>
      </c>
      <c r="U149" s="18" t="str">
        <f>IFERROR(VLOOKUP(Tabela1[[#This Row],[Tag]],'Base de Dados'!V149:W201,2,0),"")</f>
        <v/>
      </c>
      <c r="V149" s="18">
        <f>DAY(Tabela1[[#This Row],[Data]])</f>
        <v>23</v>
      </c>
      <c r="W149" s="18">
        <f>MONTH(Tabela1[[#This Row],[Data]])</f>
        <v>11</v>
      </c>
      <c r="X149" s="18">
        <f>YEAR(Tabela1[[#This Row],[Data]])</f>
        <v>2022</v>
      </c>
    </row>
    <row r="150" spans="1:24" ht="30" hidden="1" x14ac:dyDescent="0.25">
      <c r="A150" s="22">
        <v>13011</v>
      </c>
      <c r="B150" s="21">
        <v>44888</v>
      </c>
      <c r="C150" s="23">
        <v>73</v>
      </c>
      <c r="D150" s="24">
        <v>782</v>
      </c>
      <c r="E150" s="24"/>
      <c r="F150" s="24"/>
      <c r="G150" s="18" t="str">
        <f>IFERROR(VLOOKUP(Tabela1[[#This Row],[Mat. 1]],'Base de Dados'!$I$5:$J$21,2,0),"")</f>
        <v>VALDEMAR</v>
      </c>
      <c r="H150" s="18" t="str">
        <f>IFERROR(VLOOKUP(Tabela1[[#This Row],[Mat. 2]],'Base de Dados'!$I$5:$J$21,2,0),"")</f>
        <v>JOSÉ</v>
      </c>
      <c r="I150" s="18" t="str">
        <f>IFERROR(VLOOKUP(Tabela1[[#This Row],[Mat. 3]],'Base de Dados'!$I$5:$J$21,2,0),"")</f>
        <v/>
      </c>
      <c r="J150" s="18" t="str">
        <f>IFERROR(VLOOKUP(Tabela1[[#This Row],[Mat. 4]],'Base de Dados'!$I$5:$J$21,2,0),"")</f>
        <v/>
      </c>
      <c r="K150" s="18" t="str">
        <f>IFERROR(VLOOKUP(Tabela1[[#This Row],[Mat. 1]],'Base de Dados'!$I$2:$M$21,5,0),"")</f>
        <v>3º</v>
      </c>
      <c r="L150" s="18" t="s">
        <v>104</v>
      </c>
      <c r="M150" s="18" t="s">
        <v>316</v>
      </c>
      <c r="N150" s="18" t="s">
        <v>558</v>
      </c>
      <c r="O150" s="18">
        <v>200</v>
      </c>
      <c r="P150" s="18">
        <v>0</v>
      </c>
      <c r="Q150" s="45" t="s">
        <v>444</v>
      </c>
      <c r="R150" s="18" t="s">
        <v>96</v>
      </c>
      <c r="S150" s="18" t="str">
        <f>IFERROR(VLOOKUP(Tabela1[[#This Row],[Cód. Causa]],'Base de Dados'!$O$2:$P$21,2,0),"")</f>
        <v>NÃO CUMPRIMENTO DO PLANO PREVENTIVO</v>
      </c>
      <c r="T150" s="18" t="str">
        <f>IFERROR(VLOOKUP(Tabela1[[#This Row],[Tag]],'Base de Dados'!$B$2:$C$64,2,0),"")</f>
        <v>PRENSA MOLDAGEM 2</v>
      </c>
      <c r="U150" s="18" t="str">
        <f>IFERROR(VLOOKUP(Tabela1[[#This Row],[Tag]],'Base de Dados'!V150:W202,2,0),"")</f>
        <v/>
      </c>
      <c r="V150" s="18">
        <f>DAY(Tabela1[[#This Row],[Data]])</f>
        <v>23</v>
      </c>
      <c r="W150" s="18">
        <f>MONTH(Tabela1[[#This Row],[Data]])</f>
        <v>11</v>
      </c>
      <c r="X150" s="18">
        <f>YEAR(Tabela1[[#This Row],[Data]])</f>
        <v>2022</v>
      </c>
    </row>
    <row r="151" spans="1:24" hidden="1" x14ac:dyDescent="0.25">
      <c r="A151" s="22">
        <v>13012</v>
      </c>
      <c r="B151" s="21">
        <v>44888</v>
      </c>
      <c r="C151" s="23">
        <v>739</v>
      </c>
      <c r="D151" s="24"/>
      <c r="E151" s="24"/>
      <c r="F151" s="24"/>
      <c r="G151" s="18" t="str">
        <f>IFERROR(VLOOKUP(Tabela1[[#This Row],[Mat. 1]],'Base de Dados'!$I$5:$J$21,2,0),"")</f>
        <v>DANILLO</v>
      </c>
      <c r="H151" s="18" t="str">
        <f>IFERROR(VLOOKUP(Tabela1[[#This Row],[Mat. 2]],'Base de Dados'!$I$5:$J$21,2,0),"")</f>
        <v/>
      </c>
      <c r="I151" s="18" t="str">
        <f>IFERROR(VLOOKUP(Tabela1[[#This Row],[Mat. 3]],'Base de Dados'!$I$5:$J$21,2,0),"")</f>
        <v/>
      </c>
      <c r="J151" s="18" t="str">
        <f>IFERROR(VLOOKUP(Tabela1[[#This Row],[Mat. 4]],'Base de Dados'!$I$5:$J$21,2,0),"")</f>
        <v/>
      </c>
      <c r="K151" s="18" t="str">
        <f>IFERROR(VLOOKUP(Tabela1[[#This Row],[Mat. 1]],'Base de Dados'!$I$2:$M$21,5,0),"")</f>
        <v>1º</v>
      </c>
      <c r="L151" s="18" t="s">
        <v>112</v>
      </c>
      <c r="M151" s="18" t="s">
        <v>313</v>
      </c>
      <c r="N151" s="18" t="s">
        <v>558</v>
      </c>
      <c r="O151" s="18">
        <v>70</v>
      </c>
      <c r="P151" s="18">
        <v>0</v>
      </c>
      <c r="Q151" s="45" t="s">
        <v>445</v>
      </c>
      <c r="R151" s="18" t="s">
        <v>34</v>
      </c>
      <c r="S151" s="18" t="str">
        <f>IFERROR(VLOOKUP(Tabela1[[#This Row],[Cód. Causa]],'Base de Dados'!$O$2:$P$21,2,0),"")</f>
        <v>FALHA EM COMPONENTES ELETRONICO</v>
      </c>
      <c r="T151" s="18" t="str">
        <f>IFERROR(VLOOKUP(Tabela1[[#This Row],[Tag]],'Base de Dados'!$B$2:$C$64,2,0),"")</f>
        <v>ROBÔ ABB APLIC. COLA DO TETO</v>
      </c>
      <c r="U151" s="18" t="str">
        <f>IFERROR(VLOOKUP(Tabela1[[#This Row],[Tag]],'Base de Dados'!V151:W203,2,0),"")</f>
        <v/>
      </c>
      <c r="V151" s="18">
        <f>DAY(Tabela1[[#This Row],[Data]])</f>
        <v>23</v>
      </c>
      <c r="W151" s="18">
        <f>MONTH(Tabela1[[#This Row],[Data]])</f>
        <v>11</v>
      </c>
      <c r="X151" s="18">
        <f>YEAR(Tabela1[[#This Row],[Data]])</f>
        <v>2022</v>
      </c>
    </row>
    <row r="152" spans="1:24" hidden="1" x14ac:dyDescent="0.25">
      <c r="A152" s="22">
        <v>13013</v>
      </c>
      <c r="B152" s="21">
        <v>44888</v>
      </c>
      <c r="C152" s="23">
        <v>739</v>
      </c>
      <c r="D152" s="24"/>
      <c r="E152" s="24"/>
      <c r="F152" s="24"/>
      <c r="G152" s="18" t="str">
        <f>IFERROR(VLOOKUP(Tabela1[[#This Row],[Mat. 1]],'Base de Dados'!$I$5:$J$21,2,0),"")</f>
        <v>DANILLO</v>
      </c>
      <c r="H152" s="18" t="str">
        <f>IFERROR(VLOOKUP(Tabela1[[#This Row],[Mat. 2]],'Base de Dados'!$I$5:$J$21,2,0),"")</f>
        <v/>
      </c>
      <c r="I152" s="18" t="str">
        <f>IFERROR(VLOOKUP(Tabela1[[#This Row],[Mat. 3]],'Base de Dados'!$I$5:$J$21,2,0),"")</f>
        <v/>
      </c>
      <c r="J152" s="18" t="str">
        <f>IFERROR(VLOOKUP(Tabela1[[#This Row],[Mat. 4]],'Base de Dados'!$I$5:$J$21,2,0),"")</f>
        <v/>
      </c>
      <c r="K152" s="18" t="str">
        <f>IFERROR(VLOOKUP(Tabela1[[#This Row],[Mat. 1]],'Base de Dados'!$I$2:$M$21,5,0),"")</f>
        <v>1º</v>
      </c>
      <c r="L152" s="18" t="s">
        <v>112</v>
      </c>
      <c r="M152" s="18" t="s">
        <v>313</v>
      </c>
      <c r="N152" s="18" t="s">
        <v>558</v>
      </c>
      <c r="O152" s="18">
        <v>60</v>
      </c>
      <c r="P152" s="18">
        <v>0</v>
      </c>
      <c r="Q152" s="45" t="s">
        <v>446</v>
      </c>
      <c r="R152" s="18" t="s">
        <v>34</v>
      </c>
      <c r="S152" s="18" t="str">
        <f>IFERROR(VLOOKUP(Tabela1[[#This Row],[Cód. Causa]],'Base de Dados'!$O$2:$P$21,2,0),"")</f>
        <v>FALHA EM COMPONENTES ELETRONICO</v>
      </c>
      <c r="T152" s="18" t="str">
        <f>IFERROR(VLOOKUP(Tabela1[[#This Row],[Tag]],'Base de Dados'!$B$2:$C$64,2,0),"")</f>
        <v>ROBÔ ABB APLIC. COLA DO TETO</v>
      </c>
      <c r="U152" s="18" t="str">
        <f>IFERROR(VLOOKUP(Tabela1[[#This Row],[Tag]],'Base de Dados'!V152:W204,2,0),"")</f>
        <v/>
      </c>
      <c r="V152" s="18">
        <f>DAY(Tabela1[[#This Row],[Data]])</f>
        <v>23</v>
      </c>
      <c r="W152" s="18">
        <f>MONTH(Tabela1[[#This Row],[Data]])</f>
        <v>11</v>
      </c>
      <c r="X152" s="18">
        <f>YEAR(Tabela1[[#This Row],[Data]])</f>
        <v>2022</v>
      </c>
    </row>
    <row r="153" spans="1:24" hidden="1" x14ac:dyDescent="0.25">
      <c r="A153" s="22">
        <v>13015</v>
      </c>
      <c r="B153" s="21">
        <v>44888</v>
      </c>
      <c r="C153" s="23">
        <v>540</v>
      </c>
      <c r="D153" s="24"/>
      <c r="E153" s="24"/>
      <c r="F153" s="24"/>
      <c r="G153" s="18" t="str">
        <f>IFERROR(VLOOKUP(Tabela1[[#This Row],[Mat. 1]],'Base de Dados'!$I$5:$J$21,2,0),"")</f>
        <v>ANDERSON</v>
      </c>
      <c r="H153" s="18" t="str">
        <f>IFERROR(VLOOKUP(Tabela1[[#This Row],[Mat. 2]],'Base de Dados'!$I$5:$J$21,2,0),"")</f>
        <v/>
      </c>
      <c r="I153" s="18" t="str">
        <f>IFERROR(VLOOKUP(Tabela1[[#This Row],[Mat. 3]],'Base de Dados'!$I$5:$J$21,2,0),"")</f>
        <v/>
      </c>
      <c r="J153" s="18" t="str">
        <f>IFERROR(VLOOKUP(Tabela1[[#This Row],[Mat. 4]],'Base de Dados'!$I$5:$J$21,2,0),"")</f>
        <v/>
      </c>
      <c r="K153" s="18" t="str">
        <f>IFERROR(VLOOKUP(Tabela1[[#This Row],[Mat. 1]],'Base de Dados'!$I$2:$M$21,5,0),"")</f>
        <v>2º</v>
      </c>
      <c r="L153" s="18" t="s">
        <v>124</v>
      </c>
      <c r="M153" s="18" t="s">
        <v>316</v>
      </c>
      <c r="N153" s="18" t="s">
        <v>558</v>
      </c>
      <c r="O153" s="18">
        <v>12</v>
      </c>
      <c r="P153" s="18">
        <v>0</v>
      </c>
      <c r="Q153" s="45" t="s">
        <v>447</v>
      </c>
      <c r="R153" s="18" t="s">
        <v>116</v>
      </c>
      <c r="S153" s="18" t="str">
        <f>IFERROR(VLOOKUP(Tabela1[[#This Row],[Cód. Causa]],'Base de Dados'!$O$2:$P$21,2,0),"")</f>
        <v xml:space="preserve">EQUIPAMENTO TRABALHANDO COM CARGA EXCESSIVA </v>
      </c>
      <c r="T153" s="18" t="str">
        <f>IFERROR(VLOOKUP(Tabela1[[#This Row],[Tag]],'Base de Dados'!$B$2:$C$64,2,0),"")</f>
        <v>PRENSA ACOPL. TECIDO DO TETO 1</v>
      </c>
      <c r="U153" s="18" t="str">
        <f>IFERROR(VLOOKUP(Tabela1[[#This Row],[Tag]],'Base de Dados'!V153:W205,2,0),"")</f>
        <v/>
      </c>
      <c r="V153" s="18">
        <f>DAY(Tabela1[[#This Row],[Data]])</f>
        <v>23</v>
      </c>
      <c r="W153" s="18">
        <f>MONTH(Tabela1[[#This Row],[Data]])</f>
        <v>11</v>
      </c>
      <c r="X153" s="18">
        <f>YEAR(Tabela1[[#This Row],[Data]])</f>
        <v>2022</v>
      </c>
    </row>
    <row r="154" spans="1:24" hidden="1" x14ac:dyDescent="0.25">
      <c r="A154" s="22">
        <v>13117</v>
      </c>
      <c r="B154" s="21">
        <v>44888</v>
      </c>
      <c r="C154" s="23">
        <v>15</v>
      </c>
      <c r="D154" s="24"/>
      <c r="E154" s="24"/>
      <c r="F154" s="24"/>
      <c r="G154" s="18" t="str">
        <f>IFERROR(VLOOKUP(Tabela1[[#This Row],[Mat. 1]],'Base de Dados'!$I$5:$J$21,2,0),"")</f>
        <v>ROBERT</v>
      </c>
      <c r="H154" s="18" t="str">
        <f>IFERROR(VLOOKUP(Tabela1[[#This Row],[Mat. 2]],'Base de Dados'!$I$5:$J$21,2,0),"")</f>
        <v/>
      </c>
      <c r="I154" s="18" t="str">
        <f>IFERROR(VLOOKUP(Tabela1[[#This Row],[Mat. 3]],'Base de Dados'!$I$5:$J$21,2,0),"")</f>
        <v/>
      </c>
      <c r="J154" s="18" t="str">
        <f>IFERROR(VLOOKUP(Tabela1[[#This Row],[Mat. 4]],'Base de Dados'!$I$5:$J$21,2,0),"")</f>
        <v/>
      </c>
      <c r="K154" s="18" t="str">
        <f>IFERROR(VLOOKUP(Tabela1[[#This Row],[Mat. 1]],'Base de Dados'!$I$2:$M$21,5,0),"")</f>
        <v>1º</v>
      </c>
      <c r="L154" s="18" t="s">
        <v>141</v>
      </c>
      <c r="M154" s="18" t="s">
        <v>316</v>
      </c>
      <c r="N154" s="18" t="s">
        <v>558</v>
      </c>
      <c r="O154" s="18">
        <v>40</v>
      </c>
      <c r="P154" s="18">
        <v>0</v>
      </c>
      <c r="Q154" s="45" t="s">
        <v>259</v>
      </c>
      <c r="R154" s="18" t="s">
        <v>116</v>
      </c>
      <c r="S154" s="18" t="str">
        <f>IFERROR(VLOOKUP(Tabela1[[#This Row],[Cód. Causa]],'Base de Dados'!$O$2:$P$21,2,0),"")</f>
        <v xml:space="preserve">EQUIPAMENTO TRABALHANDO COM CARGA EXCESSIVA </v>
      </c>
      <c r="T154" s="18" t="str">
        <f>IFERROR(VLOOKUP(Tabela1[[#This Row],[Tag]],'Base de Dados'!$B$2:$C$64,2,0),"")</f>
        <v>CORTE DO TETO  - WATER JET 2</v>
      </c>
      <c r="U154" s="18" t="str">
        <f>IFERROR(VLOOKUP(Tabela1[[#This Row],[Tag]],'Base de Dados'!V154:W206,2,0),"")</f>
        <v/>
      </c>
      <c r="V154" s="18">
        <f>DAY(Tabela1[[#This Row],[Data]])</f>
        <v>23</v>
      </c>
      <c r="W154" s="18">
        <f>MONTH(Tabela1[[#This Row],[Data]])</f>
        <v>11</v>
      </c>
      <c r="X154" s="18">
        <f>YEAR(Tabela1[[#This Row],[Data]])</f>
        <v>2022</v>
      </c>
    </row>
    <row r="155" spans="1:24" hidden="1" x14ac:dyDescent="0.25">
      <c r="A155" s="22">
        <v>13118</v>
      </c>
      <c r="B155" s="21">
        <v>44888</v>
      </c>
      <c r="C155" s="23">
        <v>592</v>
      </c>
      <c r="D155" s="24"/>
      <c r="E155" s="24"/>
      <c r="F155" s="24"/>
      <c r="G155" s="18" t="str">
        <f>IFERROR(VLOOKUP(Tabela1[[#This Row],[Mat. 1]],'Base de Dados'!$I$5:$J$21,2,0),"")</f>
        <v>CRISTIANO</v>
      </c>
      <c r="H155" s="18" t="str">
        <f>IFERROR(VLOOKUP(Tabela1[[#This Row],[Mat. 2]],'Base de Dados'!$I$5:$J$21,2,0),"")</f>
        <v/>
      </c>
      <c r="I155" s="18" t="str">
        <f>IFERROR(VLOOKUP(Tabela1[[#This Row],[Mat. 3]],'Base de Dados'!$I$5:$J$21,2,0),"")</f>
        <v/>
      </c>
      <c r="J155" s="18" t="str">
        <f>IFERROR(VLOOKUP(Tabela1[[#This Row],[Mat. 4]],'Base de Dados'!$I$5:$J$21,2,0),"")</f>
        <v/>
      </c>
      <c r="K155" s="18" t="str">
        <f>IFERROR(VLOOKUP(Tabela1[[#This Row],[Mat. 1]],'Base de Dados'!$I$2:$M$21,5,0),"")</f>
        <v>1º</v>
      </c>
      <c r="L155" s="18" t="s">
        <v>145</v>
      </c>
      <c r="M155" s="18" t="s">
        <v>316</v>
      </c>
      <c r="N155" s="18" t="s">
        <v>558</v>
      </c>
      <c r="O155" s="18">
        <v>10</v>
      </c>
      <c r="P155" s="18">
        <v>0</v>
      </c>
      <c r="Q155" s="45" t="s">
        <v>354</v>
      </c>
      <c r="R155" s="18" t="s">
        <v>116</v>
      </c>
      <c r="S155" s="18" t="str">
        <f>IFERROR(VLOOKUP(Tabela1[[#This Row],[Cód. Causa]],'Base de Dados'!$O$2:$P$21,2,0),"")</f>
        <v xml:space="preserve">EQUIPAMENTO TRABALHANDO COM CARGA EXCESSIVA </v>
      </c>
      <c r="T155" s="18" t="str">
        <f>IFERROR(VLOOKUP(Tabela1[[#This Row],[Tag]],'Base de Dados'!$B$2:$C$64,2,0),"")</f>
        <v>VIROLA DO TETO 521</v>
      </c>
      <c r="U155" s="18" t="str">
        <f>IFERROR(VLOOKUP(Tabela1[[#This Row],[Tag]],'Base de Dados'!V155:W207,2,0),"")</f>
        <v/>
      </c>
      <c r="V155" s="18">
        <f>DAY(Tabela1[[#This Row],[Data]])</f>
        <v>23</v>
      </c>
      <c r="W155" s="18">
        <f>MONTH(Tabela1[[#This Row],[Data]])</f>
        <v>11</v>
      </c>
      <c r="X155" s="18">
        <f>YEAR(Tabela1[[#This Row],[Data]])</f>
        <v>2022</v>
      </c>
    </row>
    <row r="156" spans="1:24" hidden="1" x14ac:dyDescent="0.25">
      <c r="A156" s="22">
        <v>13122</v>
      </c>
      <c r="B156" s="21">
        <v>44888</v>
      </c>
      <c r="C156" s="23">
        <v>540</v>
      </c>
      <c r="D156" s="24"/>
      <c r="E156" s="24"/>
      <c r="F156" s="24"/>
      <c r="G156" s="18" t="str">
        <f>IFERROR(VLOOKUP(Tabela1[[#This Row],[Mat. 1]],'Base de Dados'!$I$5:$J$21,2,0),"")</f>
        <v>ANDERSON</v>
      </c>
      <c r="H156" s="18" t="str">
        <f>IFERROR(VLOOKUP(Tabela1[[#This Row],[Mat. 2]],'Base de Dados'!$I$5:$J$21,2,0),"")</f>
        <v/>
      </c>
      <c r="I156" s="18" t="str">
        <f>IFERROR(VLOOKUP(Tabela1[[#This Row],[Mat. 3]],'Base de Dados'!$I$5:$J$21,2,0),"")</f>
        <v/>
      </c>
      <c r="J156" s="18" t="str">
        <f>IFERROR(VLOOKUP(Tabela1[[#This Row],[Mat. 4]],'Base de Dados'!$I$5:$J$21,2,0),"")</f>
        <v/>
      </c>
      <c r="K156" s="18" t="str">
        <f>IFERROR(VLOOKUP(Tabela1[[#This Row],[Mat. 1]],'Base de Dados'!$I$2:$M$21,5,0),"")</f>
        <v>2º</v>
      </c>
      <c r="L156" s="18" t="s">
        <v>141</v>
      </c>
      <c r="M156" s="18" t="s">
        <v>316</v>
      </c>
      <c r="N156" s="18" t="s">
        <v>558</v>
      </c>
      <c r="O156" s="18">
        <v>30</v>
      </c>
      <c r="P156" s="18">
        <v>0</v>
      </c>
      <c r="Q156" s="45" t="s">
        <v>259</v>
      </c>
      <c r="R156" s="18" t="s">
        <v>116</v>
      </c>
      <c r="S156" s="18" t="str">
        <f>IFERROR(VLOOKUP(Tabela1[[#This Row],[Cód. Causa]],'Base de Dados'!$O$2:$P$21,2,0),"")</f>
        <v xml:space="preserve">EQUIPAMENTO TRABALHANDO COM CARGA EXCESSIVA </v>
      </c>
      <c r="T156" s="18" t="str">
        <f>IFERROR(VLOOKUP(Tabela1[[#This Row],[Tag]],'Base de Dados'!$B$2:$C$64,2,0),"")</f>
        <v>CORTE DO TETO  - WATER JET 2</v>
      </c>
      <c r="U156" s="18" t="str">
        <f>IFERROR(VLOOKUP(Tabela1[[#This Row],[Tag]],'Base de Dados'!V156:W208,2,0),"")</f>
        <v/>
      </c>
      <c r="V156" s="18">
        <f>DAY(Tabela1[[#This Row],[Data]])</f>
        <v>23</v>
      </c>
      <c r="W156" s="18">
        <f>MONTH(Tabela1[[#This Row],[Data]])</f>
        <v>11</v>
      </c>
      <c r="X156" s="18">
        <f>YEAR(Tabela1[[#This Row],[Data]])</f>
        <v>2022</v>
      </c>
    </row>
    <row r="157" spans="1:24" hidden="1" x14ac:dyDescent="0.25">
      <c r="A157" s="22">
        <v>13162</v>
      </c>
      <c r="B157" s="21">
        <v>44888</v>
      </c>
      <c r="C157" s="23">
        <v>782</v>
      </c>
      <c r="D157" s="24"/>
      <c r="E157" s="24"/>
      <c r="F157" s="24"/>
      <c r="G157" s="18" t="str">
        <f>IFERROR(VLOOKUP(Tabela1[[#This Row],[Mat. 1]],'Base de Dados'!$I$5:$J$21,2,0),"")</f>
        <v>JOSÉ</v>
      </c>
      <c r="H157" s="18" t="str">
        <f>IFERROR(VLOOKUP(Tabela1[[#This Row],[Mat. 2]],'Base de Dados'!$I$5:$J$21,2,0),"")</f>
        <v/>
      </c>
      <c r="I157" s="18" t="str">
        <f>IFERROR(VLOOKUP(Tabela1[[#This Row],[Mat. 3]],'Base de Dados'!$I$5:$J$21,2,0),"")</f>
        <v/>
      </c>
      <c r="J157" s="18" t="str">
        <f>IFERROR(VLOOKUP(Tabela1[[#This Row],[Mat. 4]],'Base de Dados'!$I$5:$J$21,2,0),"")</f>
        <v/>
      </c>
      <c r="K157" s="18" t="str">
        <f>IFERROR(VLOOKUP(Tabela1[[#This Row],[Mat. 1]],'Base de Dados'!$I$2:$M$21,5,0),"")</f>
        <v>3º</v>
      </c>
      <c r="L157" s="18" t="s">
        <v>185</v>
      </c>
      <c r="M157" s="18" t="s">
        <v>313</v>
      </c>
      <c r="N157" s="18" t="s">
        <v>558</v>
      </c>
      <c r="O157" s="18">
        <v>3</v>
      </c>
      <c r="P157" s="18">
        <v>0</v>
      </c>
      <c r="Q157" s="45" t="s">
        <v>418</v>
      </c>
      <c r="R157" s="18" t="s">
        <v>34</v>
      </c>
      <c r="S157" s="18" t="str">
        <f>IFERROR(VLOOKUP(Tabela1[[#This Row],[Cód. Causa]],'Base de Dados'!$O$2:$P$21,2,0),"")</f>
        <v>FALHA EM COMPONENTES ELETRONICO</v>
      </c>
      <c r="T157" s="18" t="str">
        <f>IFERROR(VLOOKUP(Tabela1[[#This Row],[Tag]],'Base de Dados'!$B$2:$C$64,2,0),"")</f>
        <v>CORTE DO CARPETE- WATER JET</v>
      </c>
      <c r="U157" s="18" t="str">
        <f>IFERROR(VLOOKUP(Tabela1[[#This Row],[Tag]],'Base de Dados'!V157:W209,2,0),"")</f>
        <v/>
      </c>
      <c r="V157" s="18">
        <f>DAY(Tabela1[[#This Row],[Data]])</f>
        <v>23</v>
      </c>
      <c r="W157" s="18">
        <f>MONTH(Tabela1[[#This Row],[Data]])</f>
        <v>11</v>
      </c>
      <c r="X157" s="18">
        <f>YEAR(Tabela1[[#This Row],[Data]])</f>
        <v>2022</v>
      </c>
    </row>
    <row r="158" spans="1:24" hidden="1" x14ac:dyDescent="0.25">
      <c r="A158" s="22">
        <v>13164</v>
      </c>
      <c r="B158" s="21">
        <v>44888</v>
      </c>
      <c r="C158" s="23">
        <v>631</v>
      </c>
      <c r="D158" s="24">
        <v>267</v>
      </c>
      <c r="E158" s="24">
        <v>677</v>
      </c>
      <c r="F158" s="24"/>
      <c r="G158" s="18" t="str">
        <f>IFERROR(VLOOKUP(Tabela1[[#This Row],[Mat. 1]],'Base de Dados'!$I$5:$J$21,2,0),"")</f>
        <v>JOSINALDO</v>
      </c>
      <c r="H158" s="18" t="str">
        <f>IFERROR(VLOOKUP(Tabela1[[#This Row],[Mat. 2]],'Base de Dados'!$I$5:$J$21,2,0),"")</f>
        <v/>
      </c>
      <c r="I158" s="18" t="str">
        <f>IFERROR(VLOOKUP(Tabela1[[#This Row],[Mat. 3]],'Base de Dados'!$I$5:$J$21,2,0),"")</f>
        <v>RAFAEL</v>
      </c>
      <c r="J158" s="18" t="str">
        <f>IFERROR(VLOOKUP(Tabela1[[#This Row],[Mat. 4]],'Base de Dados'!$I$5:$J$21,2,0),"")</f>
        <v/>
      </c>
      <c r="K158" s="18" t="str">
        <f>IFERROR(VLOOKUP(Tabela1[[#This Row],[Mat. 1]],'Base de Dados'!$I$2:$M$21,5,0),"")</f>
        <v>2º</v>
      </c>
      <c r="L158" s="18" t="s">
        <v>187</v>
      </c>
      <c r="M158" s="18" t="s">
        <v>313</v>
      </c>
      <c r="N158" s="18" t="s">
        <v>558</v>
      </c>
      <c r="O158" s="18">
        <v>25</v>
      </c>
      <c r="P158" s="18">
        <v>0</v>
      </c>
      <c r="Q158" s="45" t="s">
        <v>448</v>
      </c>
      <c r="R158" s="18" t="s">
        <v>34</v>
      </c>
      <c r="S158" s="18" t="str">
        <f>IFERROR(VLOOKUP(Tabela1[[#This Row],[Cód. Causa]],'Base de Dados'!$O$2:$P$21,2,0),"")</f>
        <v>FALHA EM COMPONENTES ELETRONICO</v>
      </c>
      <c r="T158" s="18" t="str">
        <f>IFERROR(VLOOKUP(Tabela1[[#This Row],[Tag]],'Base de Dados'!$B$2:$C$64,2,0),"")</f>
        <v>CORTE DO CARPETE- WATER JET</v>
      </c>
      <c r="U158" s="18" t="str">
        <f>IFERROR(VLOOKUP(Tabela1[[#This Row],[Tag]],'Base de Dados'!V158:W210,2,0),"")</f>
        <v/>
      </c>
      <c r="V158" s="18">
        <f>DAY(Tabela1[[#This Row],[Data]])</f>
        <v>23</v>
      </c>
      <c r="W158" s="18">
        <f>MONTH(Tabela1[[#This Row],[Data]])</f>
        <v>11</v>
      </c>
      <c r="X158" s="18">
        <f>YEAR(Tabela1[[#This Row],[Data]])</f>
        <v>2022</v>
      </c>
    </row>
    <row r="159" spans="1:24" hidden="1" x14ac:dyDescent="0.25">
      <c r="A159" s="22">
        <v>13166</v>
      </c>
      <c r="B159" s="21">
        <v>44888</v>
      </c>
      <c r="C159" s="23">
        <v>677</v>
      </c>
      <c r="D159" s="24"/>
      <c r="E159" s="24"/>
      <c r="F159" s="24"/>
      <c r="G159" s="18" t="str">
        <f>IFERROR(VLOOKUP(Tabela1[[#This Row],[Mat. 1]],'Base de Dados'!$I$5:$J$21,2,0),"")</f>
        <v>RAFAEL</v>
      </c>
      <c r="H159" s="18" t="str">
        <f>IFERROR(VLOOKUP(Tabela1[[#This Row],[Mat. 2]],'Base de Dados'!$I$5:$J$21,2,0),"")</f>
        <v/>
      </c>
      <c r="I159" s="18" t="str">
        <f>IFERROR(VLOOKUP(Tabela1[[#This Row],[Mat. 3]],'Base de Dados'!$I$5:$J$21,2,0),"")</f>
        <v/>
      </c>
      <c r="J159" s="18" t="str">
        <f>IFERROR(VLOOKUP(Tabela1[[#This Row],[Mat. 4]],'Base de Dados'!$I$5:$J$21,2,0),"")</f>
        <v/>
      </c>
      <c r="K159" s="18" t="str">
        <f>IFERROR(VLOOKUP(Tabela1[[#This Row],[Mat. 1]],'Base de Dados'!$I$2:$M$21,5,0),"")</f>
        <v>2º</v>
      </c>
      <c r="L159" s="18" t="s">
        <v>449</v>
      </c>
      <c r="M159" s="18" t="s">
        <v>313</v>
      </c>
      <c r="N159" s="18" t="s">
        <v>558</v>
      </c>
      <c r="O159" s="18">
        <v>22</v>
      </c>
      <c r="P159" s="18">
        <v>0</v>
      </c>
      <c r="Q159" s="45" t="s">
        <v>450</v>
      </c>
      <c r="R159" s="18" t="s">
        <v>34</v>
      </c>
      <c r="S159" s="18" t="str">
        <f>IFERROR(VLOOKUP(Tabela1[[#This Row],[Cód. Causa]],'Base de Dados'!$O$2:$P$21,2,0),"")</f>
        <v>FALHA EM COMPONENTES ELETRONICO</v>
      </c>
      <c r="T159" s="18" t="str">
        <f>IFERROR(VLOOKUP(Tabela1[[#This Row],[Tag]],'Base de Dados'!$B$2:$C$64,2,0),"")</f>
        <v/>
      </c>
      <c r="U159" s="18" t="str">
        <f>IFERROR(VLOOKUP(Tabela1[[#This Row],[Tag]],'Base de Dados'!V159:W211,2,0),"")</f>
        <v/>
      </c>
      <c r="V159" s="18">
        <f>DAY(Tabela1[[#This Row],[Data]])</f>
        <v>23</v>
      </c>
      <c r="W159" s="18">
        <f>MONTH(Tabela1[[#This Row],[Data]])</f>
        <v>11</v>
      </c>
      <c r="X159" s="18">
        <f>YEAR(Tabela1[[#This Row],[Data]])</f>
        <v>2022</v>
      </c>
    </row>
    <row r="160" spans="1:24" hidden="1" x14ac:dyDescent="0.25">
      <c r="A160" s="22">
        <v>13963</v>
      </c>
      <c r="B160" s="21">
        <v>44888</v>
      </c>
      <c r="C160" s="23">
        <v>677</v>
      </c>
      <c r="D160" s="24"/>
      <c r="E160" s="24"/>
      <c r="F160" s="24"/>
      <c r="G160" s="18" t="str">
        <f>IFERROR(VLOOKUP(Tabela1[[#This Row],[Mat. 1]],'Base de Dados'!$I$5:$J$21,2,0),"")</f>
        <v>RAFAEL</v>
      </c>
      <c r="H160" s="18" t="str">
        <f>IFERROR(VLOOKUP(Tabela1[[#This Row],[Mat. 2]],'Base de Dados'!$I$5:$J$21,2,0),"")</f>
        <v/>
      </c>
      <c r="I160" s="18" t="str">
        <f>IFERROR(VLOOKUP(Tabela1[[#This Row],[Mat. 3]],'Base de Dados'!$I$5:$J$21,2,0),"")</f>
        <v/>
      </c>
      <c r="J160" s="18" t="str">
        <f>IFERROR(VLOOKUP(Tabela1[[#This Row],[Mat. 4]],'Base de Dados'!$I$5:$J$21,2,0),"")</f>
        <v/>
      </c>
      <c r="K160" s="18" t="str">
        <f>IFERROR(VLOOKUP(Tabela1[[#This Row],[Mat. 1]],'Base de Dados'!$I$2:$M$21,5,0),"")</f>
        <v>2º</v>
      </c>
      <c r="L160" s="18" t="s">
        <v>47</v>
      </c>
      <c r="M160" s="18" t="s">
        <v>313</v>
      </c>
      <c r="N160" s="18" t="s">
        <v>558</v>
      </c>
      <c r="O160" s="18">
        <v>15</v>
      </c>
      <c r="P160" s="18">
        <v>0</v>
      </c>
      <c r="Q160" s="45" t="s">
        <v>451</v>
      </c>
      <c r="R160" s="18" t="s">
        <v>116</v>
      </c>
      <c r="S160" s="18" t="str">
        <f>IFERROR(VLOOKUP(Tabela1[[#This Row],[Cód. Causa]],'Base de Dados'!$O$2:$P$21,2,0),"")</f>
        <v xml:space="preserve">EQUIPAMENTO TRABALHANDO COM CARGA EXCESSIVA </v>
      </c>
      <c r="T160" s="18" t="str">
        <f>IFERROR(VLOOKUP(Tabela1[[#This Row],[Tag]],'Base de Dados'!$B$2:$C$64,2,0),"")</f>
        <v>PRENSA MOLDAGEM INNER DASH</v>
      </c>
      <c r="U160" s="18" t="str">
        <f>IFERROR(VLOOKUP(Tabela1[[#This Row],[Tag]],'Base de Dados'!V160:W212,2,0),"")</f>
        <v/>
      </c>
      <c r="V160" s="18">
        <f>DAY(Tabela1[[#This Row],[Data]])</f>
        <v>23</v>
      </c>
      <c r="W160" s="18">
        <f>MONTH(Tabela1[[#This Row],[Data]])</f>
        <v>11</v>
      </c>
      <c r="X160" s="18">
        <f>YEAR(Tabela1[[#This Row],[Data]])</f>
        <v>2022</v>
      </c>
    </row>
    <row r="161" spans="1:24" hidden="1" x14ac:dyDescent="0.25">
      <c r="A161" s="22">
        <v>15023</v>
      </c>
      <c r="B161" s="21">
        <v>44888</v>
      </c>
      <c r="C161" s="23">
        <v>721</v>
      </c>
      <c r="D161" s="24"/>
      <c r="E161" s="24"/>
      <c r="F161" s="24"/>
      <c r="G161" s="18" t="str">
        <f>IFERROR(VLOOKUP(Tabela1[[#This Row],[Mat. 1]],'Base de Dados'!$I$5:$J$21,2,0),"")</f>
        <v>GENILSON</v>
      </c>
      <c r="H161" s="18" t="str">
        <f>IFERROR(VLOOKUP(Tabela1[[#This Row],[Mat. 2]],'Base de Dados'!$I$5:$J$21,2,0),"")</f>
        <v/>
      </c>
      <c r="I161" s="18" t="str">
        <f>IFERROR(VLOOKUP(Tabela1[[#This Row],[Mat. 3]],'Base de Dados'!$I$5:$J$21,2,0),"")</f>
        <v/>
      </c>
      <c r="J161" s="18" t="str">
        <f>IFERROR(VLOOKUP(Tabela1[[#This Row],[Mat. 4]],'Base de Dados'!$I$5:$J$21,2,0),"")</f>
        <v/>
      </c>
      <c r="K161" s="18" t="str">
        <f>IFERROR(VLOOKUP(Tabela1[[#This Row],[Mat. 1]],'Base de Dados'!$I$2:$M$21,5,0),"")</f>
        <v>1º</v>
      </c>
      <c r="L161" s="18" t="s">
        <v>185</v>
      </c>
      <c r="M161" s="18" t="s">
        <v>316</v>
      </c>
      <c r="N161" s="18" t="s">
        <v>558</v>
      </c>
      <c r="O161" s="18">
        <v>20</v>
      </c>
      <c r="P161" s="18">
        <v>0</v>
      </c>
      <c r="Q161" s="45" t="s">
        <v>260</v>
      </c>
      <c r="R161" s="18" t="s">
        <v>116</v>
      </c>
      <c r="S161" s="18" t="str">
        <f>IFERROR(VLOOKUP(Tabela1[[#This Row],[Cód. Causa]],'Base de Dados'!$O$2:$P$21,2,0),"")</f>
        <v xml:space="preserve">EQUIPAMENTO TRABALHANDO COM CARGA EXCESSIVA </v>
      </c>
      <c r="T161" s="18" t="str">
        <f>IFERROR(VLOOKUP(Tabela1[[#This Row],[Tag]],'Base de Dados'!$B$2:$C$64,2,0),"")</f>
        <v>CORTE DO CARPETE- WATER JET</v>
      </c>
      <c r="U161" s="18" t="str">
        <f>IFERROR(VLOOKUP(Tabela1[[#This Row],[Tag]],'Base de Dados'!V161:W213,2,0),"")</f>
        <v/>
      </c>
      <c r="V161" s="18">
        <f>DAY(Tabela1[[#This Row],[Data]])</f>
        <v>23</v>
      </c>
      <c r="W161" s="18">
        <f>MONTH(Tabela1[[#This Row],[Data]])</f>
        <v>11</v>
      </c>
      <c r="X161" s="18">
        <f>YEAR(Tabela1[[#This Row],[Data]])</f>
        <v>2022</v>
      </c>
    </row>
    <row r="162" spans="1:24" hidden="1" x14ac:dyDescent="0.25">
      <c r="A162" s="22">
        <v>12120</v>
      </c>
      <c r="B162" s="21">
        <v>44889</v>
      </c>
      <c r="C162" s="23">
        <v>592</v>
      </c>
      <c r="D162" s="24"/>
      <c r="E162" s="24"/>
      <c r="F162" s="24"/>
      <c r="G162" s="18" t="str">
        <f>IFERROR(VLOOKUP(Tabela1[[#This Row],[Mat. 1]],'Base de Dados'!$I$5:$J$21,2,0),"")</f>
        <v>CRISTIANO</v>
      </c>
      <c r="H162" s="18" t="str">
        <f>IFERROR(VLOOKUP(Tabela1[[#This Row],[Mat. 2]],'Base de Dados'!$I$5:$J$21,2,0),"")</f>
        <v/>
      </c>
      <c r="I162" s="18" t="str">
        <f>IFERROR(VLOOKUP(Tabela1[[#This Row],[Mat. 3]],'Base de Dados'!$I$5:$J$21,2,0),"")</f>
        <v/>
      </c>
      <c r="J162" s="18" t="str">
        <f>IFERROR(VLOOKUP(Tabela1[[#This Row],[Mat. 4]],'Base de Dados'!$I$5:$J$21,2,0),"")</f>
        <v/>
      </c>
      <c r="K162" s="18" t="str">
        <f>IFERROR(VLOOKUP(Tabela1[[#This Row],[Mat. 1]],'Base de Dados'!$I$2:$M$21,5,0),"")</f>
        <v>1º</v>
      </c>
      <c r="L162" s="18" t="s">
        <v>141</v>
      </c>
      <c r="M162" s="18" t="s">
        <v>316</v>
      </c>
      <c r="N162" s="18" t="s">
        <v>558</v>
      </c>
      <c r="O162" s="18">
        <v>17</v>
      </c>
      <c r="P162" s="18">
        <v>0</v>
      </c>
      <c r="Q162" s="45" t="s">
        <v>452</v>
      </c>
      <c r="R162" s="18" t="s">
        <v>116</v>
      </c>
      <c r="S162" s="18" t="str">
        <f>IFERROR(VLOOKUP(Tabela1[[#This Row],[Cód. Causa]],'Base de Dados'!$O$2:$P$21,2,0),"")</f>
        <v xml:space="preserve">EQUIPAMENTO TRABALHANDO COM CARGA EXCESSIVA </v>
      </c>
      <c r="T162" s="18" t="str">
        <f>IFERROR(VLOOKUP(Tabela1[[#This Row],[Tag]],'Base de Dados'!$B$2:$C$64,2,0),"")</f>
        <v>CORTE DO TETO  - WATER JET 2</v>
      </c>
      <c r="U162" s="18" t="str">
        <f>IFERROR(VLOOKUP(Tabela1[[#This Row],[Tag]],'Base de Dados'!V162:W214,2,0),"")</f>
        <v/>
      </c>
      <c r="V162" s="18">
        <f>DAY(Tabela1[[#This Row],[Data]])</f>
        <v>24</v>
      </c>
      <c r="W162" s="18">
        <f>MONTH(Tabela1[[#This Row],[Data]])</f>
        <v>11</v>
      </c>
      <c r="X162" s="18">
        <f>YEAR(Tabela1[[#This Row],[Data]])</f>
        <v>2022</v>
      </c>
    </row>
    <row r="163" spans="1:24" hidden="1" x14ac:dyDescent="0.25">
      <c r="A163" s="22">
        <v>12189</v>
      </c>
      <c r="B163" s="21">
        <v>44889</v>
      </c>
      <c r="C163" s="23">
        <v>677</v>
      </c>
      <c r="D163" s="24">
        <v>540</v>
      </c>
      <c r="E163" s="24"/>
      <c r="F163" s="24"/>
      <c r="G163" s="18" t="str">
        <f>IFERROR(VLOOKUP(Tabela1[[#This Row],[Mat. 1]],'Base de Dados'!$I$5:$J$21,2,0),"")</f>
        <v>RAFAEL</v>
      </c>
      <c r="H163" s="18" t="str">
        <f>IFERROR(VLOOKUP(Tabela1[[#This Row],[Mat. 2]],'Base de Dados'!$I$5:$J$21,2,0),"")</f>
        <v>ANDERSON</v>
      </c>
      <c r="I163" s="18" t="str">
        <f>IFERROR(VLOOKUP(Tabela1[[#This Row],[Mat. 3]],'Base de Dados'!$I$5:$J$21,2,0),"")</f>
        <v/>
      </c>
      <c r="J163" s="18" t="str">
        <f>IFERROR(VLOOKUP(Tabela1[[#This Row],[Mat. 4]],'Base de Dados'!$I$5:$J$21,2,0),"")</f>
        <v/>
      </c>
      <c r="K163" s="18" t="str">
        <f>IFERROR(VLOOKUP(Tabela1[[#This Row],[Mat. 1]],'Base de Dados'!$I$2:$M$21,5,0),"")</f>
        <v>2º</v>
      </c>
      <c r="L163" s="18" t="s">
        <v>91</v>
      </c>
      <c r="M163" s="18" t="s">
        <v>316</v>
      </c>
      <c r="N163" s="18" t="s">
        <v>558</v>
      </c>
      <c r="O163" s="18">
        <v>30</v>
      </c>
      <c r="P163" s="18">
        <v>0</v>
      </c>
      <c r="Q163" s="45" t="s">
        <v>453</v>
      </c>
      <c r="R163" s="18" t="s">
        <v>116</v>
      </c>
      <c r="S163" s="18" t="str">
        <f>IFERROR(VLOOKUP(Tabela1[[#This Row],[Cód. Causa]],'Base de Dados'!$O$2:$P$21,2,0),"")</f>
        <v xml:space="preserve">EQUIPAMENTO TRABALHANDO COM CARGA EXCESSIVA </v>
      </c>
      <c r="T163" s="18" t="str">
        <f>IFERROR(VLOOKUP(Tabela1[[#This Row],[Tag]],'Base de Dados'!$B$2:$C$64,2,0),"")</f>
        <v>TERMOFORMAGEM GLASUTEC</v>
      </c>
      <c r="U163" s="18" t="str">
        <f>IFERROR(VLOOKUP(Tabela1[[#This Row],[Tag]],'Base de Dados'!V163:W215,2,0),"")</f>
        <v/>
      </c>
      <c r="V163" s="18">
        <f>DAY(Tabela1[[#This Row],[Data]])</f>
        <v>24</v>
      </c>
      <c r="W163" s="18">
        <f>MONTH(Tabela1[[#This Row],[Data]])</f>
        <v>11</v>
      </c>
      <c r="X163" s="18">
        <f>YEAR(Tabela1[[#This Row],[Data]])</f>
        <v>2022</v>
      </c>
    </row>
    <row r="164" spans="1:24" hidden="1" x14ac:dyDescent="0.25">
      <c r="A164" s="22">
        <v>12198</v>
      </c>
      <c r="B164" s="21">
        <v>44889</v>
      </c>
      <c r="C164" s="23">
        <v>677</v>
      </c>
      <c r="D164" s="24">
        <v>540</v>
      </c>
      <c r="E164" s="24"/>
      <c r="F164" s="24"/>
      <c r="G164" s="18" t="str">
        <f>IFERROR(VLOOKUP(Tabela1[[#This Row],[Mat. 1]],'Base de Dados'!$I$5:$J$21,2,0),"")</f>
        <v>RAFAEL</v>
      </c>
      <c r="H164" s="18" t="str">
        <f>IFERROR(VLOOKUP(Tabela1[[#This Row],[Mat. 2]],'Base de Dados'!$I$5:$J$21,2,0),"")</f>
        <v>ANDERSON</v>
      </c>
      <c r="I164" s="18" t="str">
        <f>IFERROR(VLOOKUP(Tabela1[[#This Row],[Mat. 3]],'Base de Dados'!$I$5:$J$21,2,0),"")</f>
        <v/>
      </c>
      <c r="J164" s="18" t="str">
        <f>IFERROR(VLOOKUP(Tabela1[[#This Row],[Mat. 4]],'Base de Dados'!$I$5:$J$21,2,0),"")</f>
        <v/>
      </c>
      <c r="K164" s="18" t="str">
        <f>IFERROR(VLOOKUP(Tabela1[[#This Row],[Mat. 1]],'Base de Dados'!$I$2:$M$21,5,0),"")</f>
        <v>2º</v>
      </c>
      <c r="L164" s="18" t="s">
        <v>91</v>
      </c>
      <c r="M164" s="18" t="s">
        <v>316</v>
      </c>
      <c r="N164" s="18" t="s">
        <v>558</v>
      </c>
      <c r="O164" s="18">
        <v>50</v>
      </c>
      <c r="P164" s="18">
        <v>0</v>
      </c>
      <c r="Q164" s="45" t="s">
        <v>454</v>
      </c>
      <c r="R164" s="18" t="s">
        <v>116</v>
      </c>
      <c r="S164" s="18" t="str">
        <f>IFERROR(VLOOKUP(Tabela1[[#This Row],[Cód. Causa]],'Base de Dados'!$O$2:$P$21,2,0),"")</f>
        <v xml:space="preserve">EQUIPAMENTO TRABALHANDO COM CARGA EXCESSIVA </v>
      </c>
      <c r="T164" s="18" t="str">
        <f>IFERROR(VLOOKUP(Tabela1[[#This Row],[Tag]],'Base de Dados'!$B$2:$C$64,2,0),"")</f>
        <v>TERMOFORMAGEM GLASUTEC</v>
      </c>
      <c r="U164" s="18" t="str">
        <f>IFERROR(VLOOKUP(Tabela1[[#This Row],[Tag]],'Base de Dados'!V164:W216,2,0),"")</f>
        <v/>
      </c>
      <c r="V164" s="18">
        <f>DAY(Tabela1[[#This Row],[Data]])</f>
        <v>24</v>
      </c>
      <c r="W164" s="18">
        <f>MONTH(Tabela1[[#This Row],[Data]])</f>
        <v>11</v>
      </c>
      <c r="X164" s="18">
        <f>YEAR(Tabela1[[#This Row],[Data]])</f>
        <v>2022</v>
      </c>
    </row>
    <row r="165" spans="1:24" hidden="1" x14ac:dyDescent="0.25">
      <c r="A165" s="22">
        <v>12988</v>
      </c>
      <c r="B165" s="21">
        <v>44889</v>
      </c>
      <c r="C165" s="23">
        <v>677</v>
      </c>
      <c r="D165" s="24"/>
      <c r="E165" s="24"/>
      <c r="F165" s="24"/>
      <c r="G165" s="18" t="str">
        <f>IFERROR(VLOOKUP(Tabela1[[#This Row],[Mat. 1]],'Base de Dados'!$I$5:$J$21,2,0),"")</f>
        <v>RAFAEL</v>
      </c>
      <c r="H165" s="18" t="str">
        <f>IFERROR(VLOOKUP(Tabela1[[#This Row],[Mat. 2]],'Base de Dados'!$I$5:$J$21,2,0),"")</f>
        <v/>
      </c>
      <c r="I165" s="18" t="str">
        <f>IFERROR(VLOOKUP(Tabela1[[#This Row],[Mat. 3]],'Base de Dados'!$I$5:$J$21,2,0),"")</f>
        <v/>
      </c>
      <c r="J165" s="18" t="str">
        <f>IFERROR(VLOOKUP(Tabela1[[#This Row],[Mat. 4]],'Base de Dados'!$I$5:$J$21,2,0),"")</f>
        <v/>
      </c>
      <c r="K165" s="18" t="str">
        <f>IFERROR(VLOOKUP(Tabela1[[#This Row],[Mat. 1]],'Base de Dados'!$I$2:$M$21,5,0),"")</f>
        <v>2º</v>
      </c>
      <c r="L165" s="18" t="s">
        <v>141</v>
      </c>
      <c r="M165" s="18" t="s">
        <v>316</v>
      </c>
      <c r="N165" s="18" t="s">
        <v>558</v>
      </c>
      <c r="O165" s="18">
        <v>19</v>
      </c>
      <c r="P165" s="18">
        <v>0</v>
      </c>
      <c r="Q165" s="45" t="s">
        <v>347</v>
      </c>
      <c r="R165" s="18" t="s">
        <v>116</v>
      </c>
      <c r="S165" s="18" t="str">
        <f>IFERROR(VLOOKUP(Tabela1[[#This Row],[Cód. Causa]],'Base de Dados'!$O$2:$P$21,2,0),"")</f>
        <v xml:space="preserve">EQUIPAMENTO TRABALHANDO COM CARGA EXCESSIVA </v>
      </c>
      <c r="T165" s="18" t="str">
        <f>IFERROR(VLOOKUP(Tabela1[[#This Row],[Tag]],'Base de Dados'!$B$2:$C$64,2,0),"")</f>
        <v>CORTE DO TETO  - WATER JET 2</v>
      </c>
      <c r="U165" s="18" t="str">
        <f>IFERROR(VLOOKUP(Tabela1[[#This Row],[Tag]],'Base de Dados'!V165:W217,2,0),"")</f>
        <v/>
      </c>
      <c r="V165" s="18">
        <f>DAY(Tabela1[[#This Row],[Data]])</f>
        <v>24</v>
      </c>
      <c r="W165" s="18">
        <f>MONTH(Tabela1[[#This Row],[Data]])</f>
        <v>11</v>
      </c>
      <c r="X165" s="18">
        <f>YEAR(Tabela1[[#This Row],[Data]])</f>
        <v>2022</v>
      </c>
    </row>
    <row r="166" spans="1:24" hidden="1" x14ac:dyDescent="0.25">
      <c r="A166" s="22">
        <v>13124</v>
      </c>
      <c r="B166" s="21">
        <v>44889</v>
      </c>
      <c r="C166" s="23">
        <v>185</v>
      </c>
      <c r="D166" s="24"/>
      <c r="E166" s="24"/>
      <c r="F166" s="24"/>
      <c r="G166" s="18" t="str">
        <f>IFERROR(VLOOKUP(Tabela1[[#This Row],[Mat. 1]],'Base de Dados'!$I$5:$J$21,2,0),"")</f>
        <v>FELIPE</v>
      </c>
      <c r="H166" s="18" t="str">
        <f>IFERROR(VLOOKUP(Tabela1[[#This Row],[Mat. 2]],'Base de Dados'!$I$5:$J$21,2,0),"")</f>
        <v/>
      </c>
      <c r="I166" s="18" t="str">
        <f>IFERROR(VLOOKUP(Tabela1[[#This Row],[Mat. 3]],'Base de Dados'!$I$5:$J$21,2,0),"")</f>
        <v/>
      </c>
      <c r="J166" s="18" t="str">
        <f>IFERROR(VLOOKUP(Tabela1[[#This Row],[Mat. 4]],'Base de Dados'!$I$5:$J$21,2,0),"")</f>
        <v/>
      </c>
      <c r="K166" s="18" t="str">
        <f>IFERROR(VLOOKUP(Tabela1[[#This Row],[Mat. 1]],'Base de Dados'!$I$2:$M$21,5,0),"")</f>
        <v>1º</v>
      </c>
      <c r="L166" s="18" t="s">
        <v>141</v>
      </c>
      <c r="M166" s="18" t="s">
        <v>316</v>
      </c>
      <c r="N166" s="18" t="s">
        <v>558</v>
      </c>
      <c r="O166" s="18">
        <v>30</v>
      </c>
      <c r="P166" s="18">
        <v>0</v>
      </c>
      <c r="Q166" s="45" t="s">
        <v>260</v>
      </c>
      <c r="R166" s="18" t="s">
        <v>116</v>
      </c>
      <c r="S166" s="18" t="str">
        <f>IFERROR(VLOOKUP(Tabela1[[#This Row],[Cód. Causa]],'Base de Dados'!$O$2:$P$21,2,0),"")</f>
        <v xml:space="preserve">EQUIPAMENTO TRABALHANDO COM CARGA EXCESSIVA </v>
      </c>
      <c r="T166" s="18" t="str">
        <f>IFERROR(VLOOKUP(Tabela1[[#This Row],[Tag]],'Base de Dados'!$B$2:$C$64,2,0),"")</f>
        <v>CORTE DO TETO  - WATER JET 2</v>
      </c>
      <c r="U166" s="18" t="str">
        <f>IFERROR(VLOOKUP(Tabela1[[#This Row],[Tag]],'Base de Dados'!V166:W218,2,0),"")</f>
        <v/>
      </c>
      <c r="V166" s="18">
        <f>DAY(Tabela1[[#This Row],[Data]])</f>
        <v>24</v>
      </c>
      <c r="W166" s="18">
        <f>MONTH(Tabela1[[#This Row],[Data]])</f>
        <v>11</v>
      </c>
      <c r="X166" s="18">
        <f>YEAR(Tabela1[[#This Row],[Data]])</f>
        <v>2022</v>
      </c>
    </row>
    <row r="167" spans="1:24" hidden="1" x14ac:dyDescent="0.25">
      <c r="A167" s="22">
        <v>13168</v>
      </c>
      <c r="B167" s="21">
        <v>44889</v>
      </c>
      <c r="C167" s="23">
        <v>877</v>
      </c>
      <c r="D167" s="24">
        <v>435</v>
      </c>
      <c r="E167" s="24"/>
      <c r="F167" s="24"/>
      <c r="G167" s="18" t="str">
        <f>IFERROR(VLOOKUP(Tabela1[[#This Row],[Mat. 1]],'Base de Dados'!$I$5:$J$21,2,0),"")</f>
        <v>RONALDO</v>
      </c>
      <c r="H167" s="18" t="str">
        <f>IFERROR(VLOOKUP(Tabela1[[#This Row],[Mat. 2]],'Base de Dados'!$I$5:$J$21,2,0),"")</f>
        <v>SILVIO</v>
      </c>
      <c r="I167" s="18" t="str">
        <f>IFERROR(VLOOKUP(Tabela1[[#This Row],[Mat. 3]],'Base de Dados'!$I$5:$J$21,2,0),"")</f>
        <v/>
      </c>
      <c r="J167" s="18" t="str">
        <f>IFERROR(VLOOKUP(Tabela1[[#This Row],[Mat. 4]],'Base de Dados'!$I$5:$J$21,2,0),"")</f>
        <v/>
      </c>
      <c r="K167" s="18" t="str">
        <f>IFERROR(VLOOKUP(Tabela1[[#This Row],[Mat. 1]],'Base de Dados'!$I$2:$M$21,5,0),"")</f>
        <v>3º</v>
      </c>
      <c r="L167" s="18" t="s">
        <v>449</v>
      </c>
      <c r="M167" s="18" t="s">
        <v>316</v>
      </c>
      <c r="N167" s="18" t="s">
        <v>558</v>
      </c>
      <c r="O167" s="18">
        <v>60</v>
      </c>
      <c r="P167" s="18">
        <v>0</v>
      </c>
      <c r="Q167" s="45" t="s">
        <v>455</v>
      </c>
      <c r="R167" s="18" t="s">
        <v>116</v>
      </c>
      <c r="S167" s="18" t="str">
        <f>IFERROR(VLOOKUP(Tabela1[[#This Row],[Cód. Causa]],'Base de Dados'!$O$2:$P$21,2,0),"")</f>
        <v xml:space="preserve">EQUIPAMENTO TRABALHANDO COM CARGA EXCESSIVA </v>
      </c>
      <c r="T167" s="18" t="str">
        <f>IFERROR(VLOOKUP(Tabela1[[#This Row],[Tag]],'Base de Dados'!$B$2:$C$64,2,0),"")</f>
        <v/>
      </c>
      <c r="U167" s="18" t="str">
        <f>IFERROR(VLOOKUP(Tabela1[[#This Row],[Tag]],'Base de Dados'!V167:W219,2,0),"")</f>
        <v/>
      </c>
      <c r="V167" s="18">
        <f>DAY(Tabela1[[#This Row],[Data]])</f>
        <v>24</v>
      </c>
      <c r="W167" s="18">
        <f>MONTH(Tabela1[[#This Row],[Data]])</f>
        <v>11</v>
      </c>
      <c r="X167" s="18">
        <f>YEAR(Tabela1[[#This Row],[Data]])</f>
        <v>2022</v>
      </c>
    </row>
    <row r="168" spans="1:24" hidden="1" x14ac:dyDescent="0.25">
      <c r="A168" s="22">
        <v>13170</v>
      </c>
      <c r="B168" s="21">
        <v>44889</v>
      </c>
      <c r="C168" s="23">
        <v>248</v>
      </c>
      <c r="D168" s="24"/>
      <c r="E168" s="24"/>
      <c r="F168" s="24"/>
      <c r="G168" s="18" t="str">
        <f>IFERROR(VLOOKUP(Tabela1[[#This Row],[Mat. 1]],'Base de Dados'!$I$5:$J$21,2,0),"")</f>
        <v>RUIGUENS</v>
      </c>
      <c r="H168" s="18" t="str">
        <f>IFERROR(VLOOKUP(Tabela1[[#This Row],[Mat. 2]],'Base de Dados'!$I$5:$J$21,2,0),"")</f>
        <v/>
      </c>
      <c r="I168" s="18" t="str">
        <f>IFERROR(VLOOKUP(Tabela1[[#This Row],[Mat. 3]],'Base de Dados'!$I$5:$J$21,2,0),"")</f>
        <v/>
      </c>
      <c r="J168" s="18" t="str">
        <f>IFERROR(VLOOKUP(Tabela1[[#This Row],[Mat. 4]],'Base de Dados'!$I$5:$J$21,2,0),"")</f>
        <v/>
      </c>
      <c r="K168" s="18" t="str">
        <f>IFERROR(VLOOKUP(Tabela1[[#This Row],[Mat. 1]],'Base de Dados'!$I$2:$M$21,5,0),"")</f>
        <v>2º</v>
      </c>
      <c r="L168" s="18" t="s">
        <v>172</v>
      </c>
      <c r="M168" s="18" t="s">
        <v>316</v>
      </c>
      <c r="N168" s="18" t="s">
        <v>558</v>
      </c>
      <c r="O168" s="18">
        <v>143</v>
      </c>
      <c r="P168" s="18">
        <v>0</v>
      </c>
      <c r="Q168" s="45" t="s">
        <v>456</v>
      </c>
      <c r="R168" s="18" t="s">
        <v>116</v>
      </c>
      <c r="S168" s="18" t="str">
        <f>IFERROR(VLOOKUP(Tabela1[[#This Row],[Cód. Causa]],'Base de Dados'!$O$2:$P$21,2,0),"")</f>
        <v xml:space="preserve">EQUIPAMENTO TRABALHANDO COM CARGA EXCESSIVA </v>
      </c>
      <c r="T168" s="18" t="str">
        <f>IFERROR(VLOOKUP(Tabela1[[#This Row],[Tag]],'Base de Dados'!$B$2:$C$64,2,0),"")</f>
        <v>PRENSA DE MOLDAGEM CARPETE</v>
      </c>
      <c r="U168" s="18" t="str">
        <f>IFERROR(VLOOKUP(Tabela1[[#This Row],[Tag]],'Base de Dados'!V168:W220,2,0),"")</f>
        <v/>
      </c>
      <c r="V168" s="18">
        <f>DAY(Tabela1[[#This Row],[Data]])</f>
        <v>24</v>
      </c>
      <c r="W168" s="18">
        <f>MONTH(Tabela1[[#This Row],[Data]])</f>
        <v>11</v>
      </c>
      <c r="X168" s="18">
        <f>YEAR(Tabela1[[#This Row],[Data]])</f>
        <v>2022</v>
      </c>
    </row>
    <row r="169" spans="1:24" hidden="1" x14ac:dyDescent="0.25">
      <c r="A169" s="22">
        <v>13171</v>
      </c>
      <c r="B169" s="21">
        <v>44889</v>
      </c>
      <c r="C169" s="23">
        <v>677</v>
      </c>
      <c r="D169" s="24"/>
      <c r="E169" s="24"/>
      <c r="F169" s="24"/>
      <c r="G169" s="18" t="str">
        <f>IFERROR(VLOOKUP(Tabela1[[#This Row],[Mat. 1]],'Base de Dados'!$I$5:$J$21,2,0),"")</f>
        <v>RAFAEL</v>
      </c>
      <c r="H169" s="18" t="str">
        <f>IFERROR(VLOOKUP(Tabela1[[#This Row],[Mat. 2]],'Base de Dados'!$I$5:$J$21,2,0),"")</f>
        <v/>
      </c>
      <c r="I169" s="18" t="str">
        <f>IFERROR(VLOOKUP(Tabela1[[#This Row],[Mat. 3]],'Base de Dados'!$I$5:$J$21,2,0),"")</f>
        <v/>
      </c>
      <c r="J169" s="18" t="str">
        <f>IFERROR(VLOOKUP(Tabela1[[#This Row],[Mat. 4]],'Base de Dados'!$I$5:$J$21,2,0),"")</f>
        <v/>
      </c>
      <c r="K169" s="18" t="str">
        <f>IFERROR(VLOOKUP(Tabela1[[#This Row],[Mat. 1]],'Base de Dados'!$I$2:$M$21,5,0),"")</f>
        <v>2º</v>
      </c>
      <c r="L169" s="18" t="s">
        <v>187</v>
      </c>
      <c r="M169" s="18" t="s">
        <v>313</v>
      </c>
      <c r="N169" s="18" t="s">
        <v>558</v>
      </c>
      <c r="O169" s="18">
        <v>10</v>
      </c>
      <c r="P169" s="18">
        <v>0</v>
      </c>
      <c r="Q169" s="45" t="s">
        <v>457</v>
      </c>
      <c r="R169" s="18" t="s">
        <v>34</v>
      </c>
      <c r="S169" s="18" t="str">
        <f>IFERROR(VLOOKUP(Tabela1[[#This Row],[Cód. Causa]],'Base de Dados'!$O$2:$P$21,2,0),"")</f>
        <v>FALHA EM COMPONENTES ELETRONICO</v>
      </c>
      <c r="T169" s="18" t="str">
        <f>IFERROR(VLOOKUP(Tabela1[[#This Row],[Tag]],'Base de Dados'!$B$2:$C$64,2,0),"")</f>
        <v>CORTE DO CARPETE- WATER JET</v>
      </c>
      <c r="U169" s="18" t="str">
        <f>IFERROR(VLOOKUP(Tabela1[[#This Row],[Tag]],'Base de Dados'!V169:W221,2,0),"")</f>
        <v/>
      </c>
      <c r="V169" s="18">
        <f>DAY(Tabela1[[#This Row],[Data]])</f>
        <v>24</v>
      </c>
      <c r="W169" s="18">
        <f>MONTH(Tabela1[[#This Row],[Data]])</f>
        <v>11</v>
      </c>
      <c r="X169" s="18">
        <f>YEAR(Tabela1[[#This Row],[Data]])</f>
        <v>2022</v>
      </c>
    </row>
    <row r="170" spans="1:24" hidden="1" x14ac:dyDescent="0.25">
      <c r="A170" s="22">
        <v>13172</v>
      </c>
      <c r="B170" s="21">
        <v>44889</v>
      </c>
      <c r="C170" s="23">
        <v>677</v>
      </c>
      <c r="D170" s="24"/>
      <c r="E170" s="24"/>
      <c r="F170" s="24"/>
      <c r="G170" s="18" t="str">
        <f>IFERROR(VLOOKUP(Tabela1[[#This Row],[Mat. 1]],'Base de Dados'!$I$5:$J$21,2,0),"")</f>
        <v>RAFAEL</v>
      </c>
      <c r="H170" s="18" t="str">
        <f>IFERROR(VLOOKUP(Tabela1[[#This Row],[Mat. 2]],'Base de Dados'!$I$5:$J$21,2,0),"")</f>
        <v/>
      </c>
      <c r="I170" s="18" t="str">
        <f>IFERROR(VLOOKUP(Tabela1[[#This Row],[Mat. 3]],'Base de Dados'!$I$5:$J$21,2,0),"")</f>
        <v/>
      </c>
      <c r="J170" s="18" t="str">
        <f>IFERROR(VLOOKUP(Tabela1[[#This Row],[Mat. 4]],'Base de Dados'!$I$5:$J$21,2,0),"")</f>
        <v/>
      </c>
      <c r="K170" s="18" t="str">
        <f>IFERROR(VLOOKUP(Tabela1[[#This Row],[Mat. 1]],'Base de Dados'!$I$2:$M$21,5,0),"")</f>
        <v>2º</v>
      </c>
      <c r="L170" s="18" t="s">
        <v>154</v>
      </c>
      <c r="M170" s="18" t="s">
        <v>316</v>
      </c>
      <c r="N170" s="18" t="s">
        <v>558</v>
      </c>
      <c r="O170" s="18">
        <v>12</v>
      </c>
      <c r="P170" s="18">
        <v>0</v>
      </c>
      <c r="Q170" s="45" t="s">
        <v>458</v>
      </c>
      <c r="R170" s="18" t="s">
        <v>116</v>
      </c>
      <c r="S170" s="18" t="str">
        <f>IFERROR(VLOOKUP(Tabela1[[#This Row],[Cód. Causa]],'Base de Dados'!$O$2:$P$21,2,0),"")</f>
        <v xml:space="preserve">EQUIPAMENTO TRABALHANDO COM CARGA EXCESSIVA </v>
      </c>
      <c r="T170" s="18" t="str">
        <f>IFERROR(VLOOKUP(Tabela1[[#This Row],[Tag]],'Base de Dados'!$B$2:$C$64,2,0),"")</f>
        <v xml:space="preserve">VIROLA </v>
      </c>
      <c r="U170" s="18" t="str">
        <f>IFERROR(VLOOKUP(Tabela1[[#This Row],[Tag]],'Base de Dados'!V170:W222,2,0),"")</f>
        <v/>
      </c>
      <c r="V170" s="18">
        <f>DAY(Tabela1[[#This Row],[Data]])</f>
        <v>24</v>
      </c>
      <c r="W170" s="18">
        <f>MONTH(Tabela1[[#This Row],[Data]])</f>
        <v>11</v>
      </c>
      <c r="X170" s="18">
        <f>YEAR(Tabela1[[#This Row],[Data]])</f>
        <v>2022</v>
      </c>
    </row>
    <row r="171" spans="1:24" hidden="1" x14ac:dyDescent="0.25">
      <c r="A171" s="22">
        <v>13964</v>
      </c>
      <c r="B171" s="21">
        <v>44889</v>
      </c>
      <c r="C171" s="23">
        <v>631</v>
      </c>
      <c r="D171" s="24"/>
      <c r="E171" s="24"/>
      <c r="F171" s="24"/>
      <c r="G171" s="18" t="str">
        <f>IFERROR(VLOOKUP(Tabela1[[#This Row],[Mat. 1]],'Base de Dados'!$I$5:$J$21,2,0),"")</f>
        <v>JOSINALDO</v>
      </c>
      <c r="H171" s="18" t="str">
        <f>IFERROR(VLOOKUP(Tabela1[[#This Row],[Mat. 2]],'Base de Dados'!$I$5:$J$21,2,0),"")</f>
        <v/>
      </c>
      <c r="I171" s="18" t="str">
        <f>IFERROR(VLOOKUP(Tabela1[[#This Row],[Mat. 3]],'Base de Dados'!$I$5:$J$21,2,0),"")</f>
        <v/>
      </c>
      <c r="J171" s="18" t="str">
        <f>IFERROR(VLOOKUP(Tabela1[[#This Row],[Mat. 4]],'Base de Dados'!$I$5:$J$21,2,0),"")</f>
        <v/>
      </c>
      <c r="K171" s="18" t="str">
        <f>IFERROR(VLOOKUP(Tabela1[[#This Row],[Mat. 1]],'Base de Dados'!$I$2:$M$21,5,0),"")</f>
        <v>2º</v>
      </c>
      <c r="L171" s="18" t="s">
        <v>79</v>
      </c>
      <c r="M171" s="18" t="s">
        <v>313</v>
      </c>
      <c r="N171" s="18" t="s">
        <v>558</v>
      </c>
      <c r="O171" s="18">
        <v>35</v>
      </c>
      <c r="P171" s="18">
        <v>0</v>
      </c>
      <c r="Q171" s="45" t="s">
        <v>332</v>
      </c>
      <c r="R171" s="18" t="s">
        <v>34</v>
      </c>
      <c r="S171" s="18" t="str">
        <f>IFERROR(VLOOKUP(Tabela1[[#This Row],[Cód. Causa]],'Base de Dados'!$O$2:$P$21,2,0),"")</f>
        <v>FALHA EM COMPONENTES ELETRONICO</v>
      </c>
      <c r="T171" s="18" t="str">
        <f>IFERROR(VLOOKUP(Tabela1[[#This Row],[Tag]],'Base de Dados'!$B$2:$C$64,2,0),"")</f>
        <v>PRENSA COM INJEÇÃO PU INNER 03</v>
      </c>
      <c r="U171" s="18" t="str">
        <f>IFERROR(VLOOKUP(Tabela1[[#This Row],[Tag]],'Base de Dados'!V171:W223,2,0),"")</f>
        <v/>
      </c>
      <c r="V171" s="18">
        <f>DAY(Tabela1[[#This Row],[Data]])</f>
        <v>24</v>
      </c>
      <c r="W171" s="18">
        <f>MONTH(Tabela1[[#This Row],[Data]])</f>
        <v>11</v>
      </c>
      <c r="X171" s="18">
        <f>YEAR(Tabela1[[#This Row],[Data]])</f>
        <v>2022</v>
      </c>
    </row>
    <row r="172" spans="1:24" hidden="1" x14ac:dyDescent="0.25">
      <c r="A172" s="22">
        <v>13965</v>
      </c>
      <c r="B172" s="21">
        <v>44889</v>
      </c>
      <c r="C172" s="23">
        <v>248</v>
      </c>
      <c r="D172" s="24">
        <v>540</v>
      </c>
      <c r="E172" s="24"/>
      <c r="F172" s="24"/>
      <c r="G172" s="18" t="str">
        <f>IFERROR(VLOOKUP(Tabela1[[#This Row],[Mat. 1]],'Base de Dados'!$I$5:$J$21,2,0),"")</f>
        <v>RUIGUENS</v>
      </c>
      <c r="H172" s="18" t="str">
        <f>IFERROR(VLOOKUP(Tabela1[[#This Row],[Mat. 2]],'Base de Dados'!$I$5:$J$21,2,0),"")</f>
        <v>ANDERSON</v>
      </c>
      <c r="I172" s="18" t="str">
        <f>IFERROR(VLOOKUP(Tabela1[[#This Row],[Mat. 3]],'Base de Dados'!$I$5:$J$21,2,0),"")</f>
        <v/>
      </c>
      <c r="J172" s="18" t="str">
        <f>IFERROR(VLOOKUP(Tabela1[[#This Row],[Mat. 4]],'Base de Dados'!$I$5:$J$21,2,0),"")</f>
        <v/>
      </c>
      <c r="K172" s="18" t="str">
        <f>IFERROR(VLOOKUP(Tabela1[[#This Row],[Mat. 1]],'Base de Dados'!$I$2:$M$21,5,0),"")</f>
        <v>2º</v>
      </c>
      <c r="L172" s="18" t="s">
        <v>459</v>
      </c>
      <c r="M172" s="18" t="s">
        <v>316</v>
      </c>
      <c r="N172" s="18" t="s">
        <v>558</v>
      </c>
      <c r="O172" s="18">
        <v>23</v>
      </c>
      <c r="P172" s="18">
        <v>0</v>
      </c>
      <c r="Q172" s="45"/>
      <c r="R172" s="18" t="s">
        <v>116</v>
      </c>
      <c r="S172" s="18" t="str">
        <f>IFERROR(VLOOKUP(Tabela1[[#This Row],[Cód. Causa]],'Base de Dados'!$O$2:$P$21,2,0),"")</f>
        <v xml:space="preserve">EQUIPAMENTO TRABALHANDO COM CARGA EXCESSIVA </v>
      </c>
      <c r="T172" s="18" t="str">
        <f>IFERROR(VLOOKUP(Tabela1[[#This Row],[Tag]],'Base de Dados'!$B$2:$C$64,2,0),"")</f>
        <v/>
      </c>
      <c r="U172" s="18" t="str">
        <f>IFERROR(VLOOKUP(Tabela1[[#This Row],[Tag]],'Base de Dados'!V172:W224,2,0),"")</f>
        <v/>
      </c>
      <c r="V172" s="18">
        <f>DAY(Tabela1[[#This Row],[Data]])</f>
        <v>24</v>
      </c>
      <c r="W172" s="18">
        <f>MONTH(Tabela1[[#This Row],[Data]])</f>
        <v>11</v>
      </c>
      <c r="X172" s="18">
        <f>YEAR(Tabela1[[#This Row],[Data]])</f>
        <v>2022</v>
      </c>
    </row>
    <row r="173" spans="1:24" hidden="1" x14ac:dyDescent="0.25">
      <c r="A173" s="22">
        <v>13965</v>
      </c>
      <c r="B173" s="21">
        <v>44889</v>
      </c>
      <c r="C173" s="23">
        <v>248</v>
      </c>
      <c r="D173" s="24">
        <v>540</v>
      </c>
      <c r="E173" s="24"/>
      <c r="F173" s="24"/>
      <c r="G173" s="18" t="str">
        <f>IFERROR(VLOOKUP(Tabela1[[#This Row],[Mat. 1]],'Base de Dados'!$I$5:$J$21,2,0),"")</f>
        <v>RUIGUENS</v>
      </c>
      <c r="H173" s="18" t="str">
        <f>IFERROR(VLOOKUP(Tabela1[[#This Row],[Mat. 2]],'Base de Dados'!$I$5:$J$21,2,0),"")</f>
        <v>ANDERSON</v>
      </c>
      <c r="I173" s="18" t="str">
        <f>IFERROR(VLOOKUP(Tabela1[[#This Row],[Mat. 3]],'Base de Dados'!$I$5:$J$21,2,0),"")</f>
        <v/>
      </c>
      <c r="J173" s="18" t="str">
        <f>IFERROR(VLOOKUP(Tabela1[[#This Row],[Mat. 4]],'Base de Dados'!$I$5:$J$21,2,0),"")</f>
        <v/>
      </c>
      <c r="K173" s="18" t="str">
        <f>IFERROR(VLOOKUP(Tabela1[[#This Row],[Mat. 1]],'Base de Dados'!$I$2:$M$21,5,0),"")</f>
        <v>2º</v>
      </c>
      <c r="L173" s="18" t="s">
        <v>459</v>
      </c>
      <c r="M173" s="18" t="s">
        <v>316</v>
      </c>
      <c r="N173" s="18" t="s">
        <v>558</v>
      </c>
      <c r="O173" s="18">
        <v>23</v>
      </c>
      <c r="P173" s="18">
        <v>0</v>
      </c>
      <c r="Q173" s="45" t="s">
        <v>460</v>
      </c>
      <c r="R173" s="18" t="s">
        <v>116</v>
      </c>
      <c r="S173" s="18" t="str">
        <f>IFERROR(VLOOKUP(Tabela1[[#This Row],[Cód. Causa]],'Base de Dados'!$O$2:$P$21,2,0),"")</f>
        <v xml:space="preserve">EQUIPAMENTO TRABALHANDO COM CARGA EXCESSIVA </v>
      </c>
      <c r="T173" s="18" t="str">
        <f>IFERROR(VLOOKUP(Tabela1[[#This Row],[Tag]],'Base de Dados'!$B$2:$C$64,2,0),"")</f>
        <v/>
      </c>
      <c r="U173" s="18" t="str">
        <f>IFERROR(VLOOKUP(Tabela1[[#This Row],[Tag]],'Base de Dados'!V173:W225,2,0),"")</f>
        <v/>
      </c>
      <c r="V173" s="18">
        <f>DAY(Tabela1[[#This Row],[Data]])</f>
        <v>24</v>
      </c>
      <c r="W173" s="18">
        <f>MONTH(Tabela1[[#This Row],[Data]])</f>
        <v>11</v>
      </c>
      <c r="X173" s="18">
        <f>YEAR(Tabela1[[#This Row],[Data]])</f>
        <v>2022</v>
      </c>
    </row>
    <row r="174" spans="1:24" hidden="1" x14ac:dyDescent="0.25">
      <c r="A174" s="22">
        <v>12985</v>
      </c>
      <c r="B174" s="21">
        <v>44890</v>
      </c>
      <c r="C174" s="23">
        <v>677</v>
      </c>
      <c r="D174" s="24">
        <v>540</v>
      </c>
      <c r="E174" s="24">
        <v>248</v>
      </c>
      <c r="F174" s="24"/>
      <c r="G174" s="18" t="str">
        <f>IFERROR(VLOOKUP(Tabela1[[#This Row],[Mat. 1]],'Base de Dados'!$I$5:$J$21,2,0),"")</f>
        <v>RAFAEL</v>
      </c>
      <c r="H174" s="18" t="str">
        <f>IFERROR(VLOOKUP(Tabela1[[#This Row],[Mat. 2]],'Base de Dados'!$I$5:$J$21,2,0),"")</f>
        <v>ANDERSON</v>
      </c>
      <c r="I174" s="18" t="str">
        <f>IFERROR(VLOOKUP(Tabela1[[#This Row],[Mat. 3]],'Base de Dados'!$I$5:$J$21,2,0),"")</f>
        <v>RUIGUENS</v>
      </c>
      <c r="J174" s="18" t="str">
        <f>IFERROR(VLOOKUP(Tabela1[[#This Row],[Mat. 4]],'Base de Dados'!$I$5:$J$21,2,0),"")</f>
        <v/>
      </c>
      <c r="K174" s="18" t="str">
        <f>IFERROR(VLOOKUP(Tabela1[[#This Row],[Mat. 1]],'Base de Dados'!$I$2:$M$21,5,0),"")</f>
        <v>2º</v>
      </c>
      <c r="L174" s="18" t="s">
        <v>141</v>
      </c>
      <c r="M174" s="18" t="s">
        <v>316</v>
      </c>
      <c r="N174" s="18" t="s">
        <v>558</v>
      </c>
      <c r="O174" s="18">
        <v>60</v>
      </c>
      <c r="P174" s="18">
        <v>0</v>
      </c>
      <c r="Q174" s="45" t="s">
        <v>461</v>
      </c>
      <c r="R174" s="18" t="s">
        <v>116</v>
      </c>
      <c r="S174" s="18" t="str">
        <f>IFERROR(VLOOKUP(Tabela1[[#This Row],[Cód. Causa]],'Base de Dados'!$O$2:$P$21,2,0),"")</f>
        <v xml:space="preserve">EQUIPAMENTO TRABALHANDO COM CARGA EXCESSIVA </v>
      </c>
      <c r="T174" s="18" t="str">
        <f>IFERROR(VLOOKUP(Tabela1[[#This Row],[Tag]],'Base de Dados'!$B$2:$C$64,2,0),"")</f>
        <v>CORTE DO TETO  - WATER JET 2</v>
      </c>
      <c r="U174" s="18" t="str">
        <f>IFERROR(VLOOKUP(Tabela1[[#This Row],[Tag]],'Base de Dados'!V174:W226,2,0),"")</f>
        <v/>
      </c>
      <c r="V174" s="18">
        <f>DAY(Tabela1[[#This Row],[Data]])</f>
        <v>25</v>
      </c>
      <c r="W174" s="18">
        <f>MONTH(Tabela1[[#This Row],[Data]])</f>
        <v>11</v>
      </c>
      <c r="X174" s="18">
        <f>YEAR(Tabela1[[#This Row],[Data]])</f>
        <v>2022</v>
      </c>
    </row>
    <row r="175" spans="1:24" hidden="1" x14ac:dyDescent="0.25">
      <c r="A175" s="22">
        <v>12992</v>
      </c>
      <c r="B175" s="21">
        <v>44890</v>
      </c>
      <c r="C175" s="23">
        <v>877</v>
      </c>
      <c r="D175" s="24">
        <v>435</v>
      </c>
      <c r="E175" s="24"/>
      <c r="F175" s="24"/>
      <c r="G175" s="18" t="str">
        <f>IFERROR(VLOOKUP(Tabela1[[#This Row],[Mat. 1]],'Base de Dados'!$I$5:$J$21,2,0),"")</f>
        <v>RONALDO</v>
      </c>
      <c r="H175" s="18" t="str">
        <f>IFERROR(VLOOKUP(Tabela1[[#This Row],[Mat. 2]],'Base de Dados'!$I$5:$J$21,2,0),"")</f>
        <v>SILVIO</v>
      </c>
      <c r="I175" s="18" t="str">
        <f>IFERROR(VLOOKUP(Tabela1[[#This Row],[Mat. 3]],'Base de Dados'!$I$5:$J$21,2,0),"")</f>
        <v/>
      </c>
      <c r="J175" s="18" t="str">
        <f>IFERROR(VLOOKUP(Tabela1[[#This Row],[Mat. 4]],'Base de Dados'!$I$5:$J$21,2,0),"")</f>
        <v/>
      </c>
      <c r="K175" s="18" t="str">
        <f>IFERROR(VLOOKUP(Tabela1[[#This Row],[Mat. 1]],'Base de Dados'!$I$2:$M$21,5,0),"")</f>
        <v>3º</v>
      </c>
      <c r="L175" s="18" t="s">
        <v>91</v>
      </c>
      <c r="M175" s="18" t="s">
        <v>313</v>
      </c>
      <c r="N175" s="18" t="s">
        <v>558</v>
      </c>
      <c r="O175" s="18">
        <v>20</v>
      </c>
      <c r="P175" s="18">
        <v>0</v>
      </c>
      <c r="Q175" s="45" t="s">
        <v>462</v>
      </c>
      <c r="R175" s="18" t="s">
        <v>116</v>
      </c>
      <c r="S175" s="18" t="str">
        <f>IFERROR(VLOOKUP(Tabela1[[#This Row],[Cód. Causa]],'Base de Dados'!$O$2:$P$21,2,0),"")</f>
        <v xml:space="preserve">EQUIPAMENTO TRABALHANDO COM CARGA EXCESSIVA </v>
      </c>
      <c r="T175" s="18" t="str">
        <f>IFERROR(VLOOKUP(Tabela1[[#This Row],[Tag]],'Base de Dados'!$B$2:$C$64,2,0),"")</f>
        <v>TERMOFORMAGEM GLASUTEC</v>
      </c>
      <c r="U175" s="18" t="str">
        <f>IFERROR(VLOOKUP(Tabela1[[#This Row],[Tag]],'Base de Dados'!V175:W227,2,0),"")</f>
        <v/>
      </c>
      <c r="V175" s="18">
        <f>DAY(Tabela1[[#This Row],[Data]])</f>
        <v>25</v>
      </c>
      <c r="W175" s="18">
        <f>MONTH(Tabela1[[#This Row],[Data]])</f>
        <v>11</v>
      </c>
      <c r="X175" s="18">
        <f>YEAR(Tabela1[[#This Row],[Data]])</f>
        <v>2022</v>
      </c>
    </row>
    <row r="176" spans="1:24" hidden="1" x14ac:dyDescent="0.25">
      <c r="A176" s="22">
        <v>13016</v>
      </c>
      <c r="B176" s="21">
        <v>44890</v>
      </c>
      <c r="C176" s="23">
        <v>435</v>
      </c>
      <c r="D176" s="24"/>
      <c r="E176" s="24"/>
      <c r="F176" s="24"/>
      <c r="G176" s="18" t="str">
        <f>IFERROR(VLOOKUP(Tabela1[[#This Row],[Mat. 1]],'Base de Dados'!$I$5:$J$21,2,0),"")</f>
        <v>SILVIO</v>
      </c>
      <c r="H176" s="18" t="str">
        <f>IFERROR(VLOOKUP(Tabela1[[#This Row],[Mat. 2]],'Base de Dados'!$I$5:$J$21,2,0),"")</f>
        <v/>
      </c>
      <c r="I176" s="18" t="str">
        <f>IFERROR(VLOOKUP(Tabela1[[#This Row],[Mat. 3]],'Base de Dados'!$I$5:$J$21,2,0),"")</f>
        <v/>
      </c>
      <c r="J176" s="18" t="str">
        <f>IFERROR(VLOOKUP(Tabela1[[#This Row],[Mat. 4]],'Base de Dados'!$I$5:$J$21,2,0),"")</f>
        <v/>
      </c>
      <c r="K176" s="18" t="str">
        <f>IFERROR(VLOOKUP(Tabela1[[#This Row],[Mat. 1]],'Base de Dados'!$I$2:$M$21,5,0),"")</f>
        <v>1º</v>
      </c>
      <c r="L176" s="18" t="s">
        <v>112</v>
      </c>
      <c r="M176" s="18" t="s">
        <v>313</v>
      </c>
      <c r="N176" s="18" t="s">
        <v>558</v>
      </c>
      <c r="O176" s="18">
        <v>40</v>
      </c>
      <c r="P176" s="18">
        <v>0</v>
      </c>
      <c r="Q176" s="45" t="s">
        <v>463</v>
      </c>
      <c r="R176" s="18" t="s">
        <v>34</v>
      </c>
      <c r="S176" s="18" t="str">
        <f>IFERROR(VLOOKUP(Tabela1[[#This Row],[Cód. Causa]],'Base de Dados'!$O$2:$P$21,2,0),"")</f>
        <v>FALHA EM COMPONENTES ELETRONICO</v>
      </c>
      <c r="T176" s="18" t="str">
        <f>IFERROR(VLOOKUP(Tabela1[[#This Row],[Tag]],'Base de Dados'!$B$2:$C$64,2,0),"")</f>
        <v>ROBÔ ABB APLIC. COLA DO TETO</v>
      </c>
      <c r="U176" s="18" t="str">
        <f>IFERROR(VLOOKUP(Tabela1[[#This Row],[Tag]],'Base de Dados'!V176:W228,2,0),"")</f>
        <v/>
      </c>
      <c r="V176" s="18">
        <f>DAY(Tabela1[[#This Row],[Data]])</f>
        <v>25</v>
      </c>
      <c r="W176" s="18">
        <f>MONTH(Tabela1[[#This Row],[Data]])</f>
        <v>11</v>
      </c>
      <c r="X176" s="18">
        <f>YEAR(Tabela1[[#This Row],[Data]])</f>
        <v>2022</v>
      </c>
    </row>
    <row r="177" spans="1:24" hidden="1" x14ac:dyDescent="0.25">
      <c r="A177" s="22">
        <v>13018</v>
      </c>
      <c r="B177" s="21">
        <v>44890</v>
      </c>
      <c r="C177" s="23">
        <v>877</v>
      </c>
      <c r="D177" s="24">
        <v>435</v>
      </c>
      <c r="E177" s="24"/>
      <c r="F177" s="24"/>
      <c r="G177" s="18" t="str">
        <f>IFERROR(VLOOKUP(Tabela1[[#This Row],[Mat. 1]],'Base de Dados'!$I$5:$J$21,2,0),"")</f>
        <v>RONALDO</v>
      </c>
      <c r="H177" s="18" t="str">
        <f>IFERROR(VLOOKUP(Tabela1[[#This Row],[Mat. 2]],'Base de Dados'!$I$5:$J$21,2,0),"")</f>
        <v>SILVIO</v>
      </c>
      <c r="I177" s="18" t="str">
        <f>IFERROR(VLOOKUP(Tabela1[[#This Row],[Mat. 3]],'Base de Dados'!$I$5:$J$21,2,0),"")</f>
        <v/>
      </c>
      <c r="J177" s="18" t="str">
        <f>IFERROR(VLOOKUP(Tabela1[[#This Row],[Mat. 4]],'Base de Dados'!$I$5:$J$21,2,0),"")</f>
        <v/>
      </c>
      <c r="K177" s="18" t="str">
        <f>IFERROR(VLOOKUP(Tabela1[[#This Row],[Mat. 1]],'Base de Dados'!$I$2:$M$21,5,0),"")</f>
        <v>3º</v>
      </c>
      <c r="L177" s="18" t="s">
        <v>112</v>
      </c>
      <c r="M177" s="18" t="s">
        <v>313</v>
      </c>
      <c r="N177" s="18" t="s">
        <v>558</v>
      </c>
      <c r="O177" s="18">
        <v>40</v>
      </c>
      <c r="P177" s="18">
        <v>0</v>
      </c>
      <c r="Q177" s="45" t="s">
        <v>464</v>
      </c>
      <c r="R177" s="18" t="s">
        <v>34</v>
      </c>
      <c r="S177" s="18" t="str">
        <f>IFERROR(VLOOKUP(Tabela1[[#This Row],[Cód. Causa]],'Base de Dados'!$O$2:$P$21,2,0),"")</f>
        <v>FALHA EM COMPONENTES ELETRONICO</v>
      </c>
      <c r="T177" s="18" t="str">
        <f>IFERROR(VLOOKUP(Tabela1[[#This Row],[Tag]],'Base de Dados'!$B$2:$C$64,2,0),"")</f>
        <v>ROBÔ ABB APLIC. COLA DO TETO</v>
      </c>
      <c r="U177" s="18" t="str">
        <f>IFERROR(VLOOKUP(Tabela1[[#This Row],[Tag]],'Base de Dados'!V177:W229,2,0),"")</f>
        <v/>
      </c>
      <c r="V177" s="18">
        <f>DAY(Tabela1[[#This Row],[Data]])</f>
        <v>25</v>
      </c>
      <c r="W177" s="18">
        <f>MONTH(Tabela1[[#This Row],[Data]])</f>
        <v>11</v>
      </c>
      <c r="X177" s="18">
        <f>YEAR(Tabela1[[#This Row],[Data]])</f>
        <v>2022</v>
      </c>
    </row>
    <row r="178" spans="1:24" hidden="1" x14ac:dyDescent="0.25">
      <c r="A178" s="22">
        <v>13121</v>
      </c>
      <c r="B178" s="21">
        <v>44890</v>
      </c>
      <c r="C178" s="23">
        <v>185</v>
      </c>
      <c r="D178" s="24"/>
      <c r="E178" s="24"/>
      <c r="F178" s="24"/>
      <c r="G178" s="18" t="str">
        <f>IFERROR(VLOOKUP(Tabela1[[#This Row],[Mat. 1]],'Base de Dados'!$I$5:$J$21,2,0),"")</f>
        <v>FELIPE</v>
      </c>
      <c r="H178" s="18" t="str">
        <f>IFERROR(VLOOKUP(Tabela1[[#This Row],[Mat. 2]],'Base de Dados'!$I$5:$J$21,2,0),"")</f>
        <v/>
      </c>
      <c r="I178" s="18" t="str">
        <f>IFERROR(VLOOKUP(Tabela1[[#This Row],[Mat. 3]],'Base de Dados'!$I$5:$J$21,2,0),"")</f>
        <v/>
      </c>
      <c r="J178" s="18" t="str">
        <f>IFERROR(VLOOKUP(Tabela1[[#This Row],[Mat. 4]],'Base de Dados'!$I$5:$J$21,2,0),"")</f>
        <v/>
      </c>
      <c r="K178" s="18" t="str">
        <f>IFERROR(VLOOKUP(Tabela1[[#This Row],[Mat. 1]],'Base de Dados'!$I$2:$M$21,5,0),"")</f>
        <v>1º</v>
      </c>
      <c r="L178" s="18" t="s">
        <v>368</v>
      </c>
      <c r="M178" s="18" t="s">
        <v>316</v>
      </c>
      <c r="N178" s="18" t="s">
        <v>558</v>
      </c>
      <c r="O178" s="18">
        <v>15</v>
      </c>
      <c r="P178" s="18">
        <v>0</v>
      </c>
      <c r="Q178" s="45" t="s">
        <v>465</v>
      </c>
      <c r="R178" s="18" t="s">
        <v>116</v>
      </c>
      <c r="S178" s="18" t="str">
        <f>IFERROR(VLOOKUP(Tabela1[[#This Row],[Cód. Causa]],'Base de Dados'!$O$2:$P$21,2,0),"")</f>
        <v xml:space="preserve">EQUIPAMENTO TRABALHANDO COM CARGA EXCESSIVA </v>
      </c>
      <c r="T178" s="18" t="str">
        <f>IFERROR(VLOOKUP(Tabela1[[#This Row],[Tag]],'Base de Dados'!$B$2:$C$64,2,0),"")</f>
        <v/>
      </c>
      <c r="U178" s="18" t="str">
        <f>IFERROR(VLOOKUP(Tabela1[[#This Row],[Tag]],'Base de Dados'!V178:W230,2,0),"")</f>
        <v/>
      </c>
      <c r="V178" s="18">
        <f>DAY(Tabela1[[#This Row],[Data]])</f>
        <v>25</v>
      </c>
      <c r="W178" s="18">
        <f>MONTH(Tabela1[[#This Row],[Data]])</f>
        <v>11</v>
      </c>
      <c r="X178" s="18">
        <f>YEAR(Tabela1[[#This Row],[Data]])</f>
        <v>2022</v>
      </c>
    </row>
    <row r="179" spans="1:24" hidden="1" x14ac:dyDescent="0.25">
      <c r="A179" s="22">
        <v>13123</v>
      </c>
      <c r="B179" s="21">
        <v>44890</v>
      </c>
      <c r="C179" s="23">
        <v>592</v>
      </c>
      <c r="D179" s="24"/>
      <c r="E179" s="24"/>
      <c r="F179" s="24"/>
      <c r="G179" s="18" t="str">
        <f>IFERROR(VLOOKUP(Tabela1[[#This Row],[Mat. 1]],'Base de Dados'!$I$5:$J$21,2,0),"")</f>
        <v>CRISTIANO</v>
      </c>
      <c r="H179" s="18" t="str">
        <f>IFERROR(VLOOKUP(Tabela1[[#This Row],[Mat. 2]],'Base de Dados'!$I$5:$J$21,2,0),"")</f>
        <v/>
      </c>
      <c r="I179" s="18" t="str">
        <f>IFERROR(VLOOKUP(Tabela1[[#This Row],[Mat. 3]],'Base de Dados'!$I$5:$J$21,2,0),"")</f>
        <v/>
      </c>
      <c r="J179" s="18" t="str">
        <f>IFERROR(VLOOKUP(Tabela1[[#This Row],[Mat. 4]],'Base de Dados'!$I$5:$J$21,2,0),"")</f>
        <v/>
      </c>
      <c r="K179" s="18" t="str">
        <f>IFERROR(VLOOKUP(Tabela1[[#This Row],[Mat. 1]],'Base de Dados'!$I$2:$M$21,5,0),"")</f>
        <v>1º</v>
      </c>
      <c r="L179" s="18" t="s">
        <v>141</v>
      </c>
      <c r="M179" s="18" t="s">
        <v>316</v>
      </c>
      <c r="N179" s="18" t="s">
        <v>558</v>
      </c>
      <c r="O179" s="18">
        <v>27</v>
      </c>
      <c r="P179" s="18">
        <v>0</v>
      </c>
      <c r="Q179" s="45" t="s">
        <v>347</v>
      </c>
      <c r="R179" s="18" t="s">
        <v>116</v>
      </c>
      <c r="S179" s="18" t="str">
        <f>IFERROR(VLOOKUP(Tabela1[[#This Row],[Cód. Causa]],'Base de Dados'!$O$2:$P$21,2,0),"")</f>
        <v xml:space="preserve">EQUIPAMENTO TRABALHANDO COM CARGA EXCESSIVA </v>
      </c>
      <c r="T179" s="18" t="str">
        <f>IFERROR(VLOOKUP(Tabela1[[#This Row],[Tag]],'Base de Dados'!$B$2:$C$64,2,0),"")</f>
        <v>CORTE DO TETO  - WATER JET 2</v>
      </c>
      <c r="U179" s="18" t="str">
        <f>IFERROR(VLOOKUP(Tabela1[[#This Row],[Tag]],'Base de Dados'!V179:W231,2,0),"")</f>
        <v/>
      </c>
      <c r="V179" s="18">
        <f>DAY(Tabela1[[#This Row],[Data]])</f>
        <v>25</v>
      </c>
      <c r="W179" s="18">
        <f>MONTH(Tabela1[[#This Row],[Data]])</f>
        <v>11</v>
      </c>
      <c r="X179" s="18">
        <f>YEAR(Tabela1[[#This Row],[Data]])</f>
        <v>2022</v>
      </c>
    </row>
    <row r="180" spans="1:24" hidden="1" x14ac:dyDescent="0.25">
      <c r="A180" s="22">
        <v>13175</v>
      </c>
      <c r="B180" s="21">
        <v>44890</v>
      </c>
      <c r="C180" s="23">
        <v>877</v>
      </c>
      <c r="D180" s="24">
        <v>435</v>
      </c>
      <c r="E180" s="24"/>
      <c r="F180" s="24"/>
      <c r="G180" s="18" t="str">
        <f>IFERROR(VLOOKUP(Tabela1[[#This Row],[Mat. 1]],'Base de Dados'!$I$5:$J$21,2,0),"")</f>
        <v>RONALDO</v>
      </c>
      <c r="H180" s="18" t="str">
        <f>IFERROR(VLOOKUP(Tabela1[[#This Row],[Mat. 2]],'Base de Dados'!$I$5:$J$21,2,0),"")</f>
        <v>SILVIO</v>
      </c>
      <c r="I180" s="18" t="str">
        <f>IFERROR(VLOOKUP(Tabela1[[#This Row],[Mat. 3]],'Base de Dados'!$I$5:$J$21,2,0),"")</f>
        <v/>
      </c>
      <c r="J180" s="18" t="str">
        <f>IFERROR(VLOOKUP(Tabela1[[#This Row],[Mat. 4]],'Base de Dados'!$I$5:$J$21,2,0),"")</f>
        <v/>
      </c>
      <c r="K180" s="18" t="str">
        <f>IFERROR(VLOOKUP(Tabela1[[#This Row],[Mat. 1]],'Base de Dados'!$I$2:$M$21,5,0),"")</f>
        <v>3º</v>
      </c>
      <c r="L180" s="18" t="s">
        <v>449</v>
      </c>
      <c r="M180" s="18" t="s">
        <v>313</v>
      </c>
      <c r="N180" s="18" t="s">
        <v>558</v>
      </c>
      <c r="O180" s="18">
        <v>30</v>
      </c>
      <c r="P180" s="18">
        <v>0</v>
      </c>
      <c r="Q180" s="45" t="s">
        <v>466</v>
      </c>
      <c r="R180" s="18" t="s">
        <v>116</v>
      </c>
      <c r="S180" s="18" t="str">
        <f>IFERROR(VLOOKUP(Tabela1[[#This Row],[Cód. Causa]],'Base de Dados'!$O$2:$P$21,2,0),"")</f>
        <v xml:space="preserve">EQUIPAMENTO TRABALHANDO COM CARGA EXCESSIVA </v>
      </c>
      <c r="T180" s="18" t="str">
        <f>IFERROR(VLOOKUP(Tabela1[[#This Row],[Tag]],'Base de Dados'!$B$2:$C$64,2,0),"")</f>
        <v/>
      </c>
      <c r="U180" s="18" t="str">
        <f>IFERROR(VLOOKUP(Tabela1[[#This Row],[Tag]],'Base de Dados'!V180:W232,2,0),"")</f>
        <v/>
      </c>
      <c r="V180" s="18">
        <f>DAY(Tabela1[[#This Row],[Data]])</f>
        <v>25</v>
      </c>
      <c r="W180" s="18">
        <f>MONTH(Tabela1[[#This Row],[Data]])</f>
        <v>11</v>
      </c>
      <c r="X180" s="18">
        <f>YEAR(Tabela1[[#This Row],[Data]])</f>
        <v>2022</v>
      </c>
    </row>
    <row r="181" spans="1:24" hidden="1" x14ac:dyDescent="0.25">
      <c r="A181" s="22">
        <v>13176</v>
      </c>
      <c r="B181" s="21">
        <v>44890</v>
      </c>
      <c r="C181" s="23">
        <v>721</v>
      </c>
      <c r="D181" s="24"/>
      <c r="E181" s="24"/>
      <c r="F181" s="24"/>
      <c r="G181" s="18" t="str">
        <f>IFERROR(VLOOKUP(Tabela1[[#This Row],[Mat. 1]],'Base de Dados'!$I$5:$J$21,2,0),"")</f>
        <v>GENILSON</v>
      </c>
      <c r="H181" s="18" t="str">
        <f>IFERROR(VLOOKUP(Tabela1[[#This Row],[Mat. 2]],'Base de Dados'!$I$5:$J$21,2,0),"")</f>
        <v/>
      </c>
      <c r="I181" s="18" t="str">
        <f>IFERROR(VLOOKUP(Tabela1[[#This Row],[Mat. 3]],'Base de Dados'!$I$5:$J$21,2,0),"")</f>
        <v/>
      </c>
      <c r="J181" s="18" t="str">
        <f>IFERROR(VLOOKUP(Tabela1[[#This Row],[Mat. 4]],'Base de Dados'!$I$5:$J$21,2,0),"")</f>
        <v/>
      </c>
      <c r="K181" s="18" t="str">
        <f>IFERROR(VLOOKUP(Tabela1[[#This Row],[Mat. 1]],'Base de Dados'!$I$2:$M$21,5,0),"")</f>
        <v>1º</v>
      </c>
      <c r="L181" s="18" t="s">
        <v>187</v>
      </c>
      <c r="M181" s="18" t="s">
        <v>313</v>
      </c>
      <c r="N181" s="18" t="s">
        <v>558</v>
      </c>
      <c r="O181" s="18">
        <v>50</v>
      </c>
      <c r="P181" s="18">
        <v>0</v>
      </c>
      <c r="Q181" s="45" t="s">
        <v>467</v>
      </c>
      <c r="R181" s="18" t="s">
        <v>34</v>
      </c>
      <c r="S181" s="18" t="str">
        <f>IFERROR(VLOOKUP(Tabela1[[#This Row],[Cód. Causa]],'Base de Dados'!$O$2:$P$21,2,0),"")</f>
        <v>FALHA EM COMPONENTES ELETRONICO</v>
      </c>
      <c r="T181" s="18" t="str">
        <f>IFERROR(VLOOKUP(Tabela1[[#This Row],[Tag]],'Base de Dados'!$B$2:$C$64,2,0),"")</f>
        <v>CORTE DO CARPETE- WATER JET</v>
      </c>
      <c r="U181" s="18" t="str">
        <f>IFERROR(VLOOKUP(Tabela1[[#This Row],[Tag]],'Base de Dados'!V181:W233,2,0),"")</f>
        <v/>
      </c>
      <c r="V181" s="18">
        <f>DAY(Tabela1[[#This Row],[Data]])</f>
        <v>25</v>
      </c>
      <c r="W181" s="18">
        <f>MONTH(Tabela1[[#This Row],[Data]])</f>
        <v>11</v>
      </c>
      <c r="X181" s="18">
        <f>YEAR(Tabela1[[#This Row],[Data]])</f>
        <v>2022</v>
      </c>
    </row>
    <row r="182" spans="1:24" hidden="1" x14ac:dyDescent="0.25">
      <c r="A182" s="22">
        <v>13177</v>
      </c>
      <c r="B182" s="21">
        <v>44890</v>
      </c>
      <c r="C182" s="23">
        <v>493</v>
      </c>
      <c r="D182" s="24"/>
      <c r="E182" s="24"/>
      <c r="F182" s="24"/>
      <c r="G182" s="18" t="str">
        <f>IFERROR(VLOOKUP(Tabela1[[#This Row],[Mat. 1]],'Base de Dados'!$I$5:$J$21,2,0),"")</f>
        <v>ELIAS</v>
      </c>
      <c r="H182" s="18" t="str">
        <f>IFERROR(VLOOKUP(Tabela1[[#This Row],[Mat. 2]],'Base de Dados'!$I$5:$J$21,2,0),"")</f>
        <v/>
      </c>
      <c r="I182" s="18" t="str">
        <f>IFERROR(VLOOKUP(Tabela1[[#This Row],[Mat. 3]],'Base de Dados'!$I$5:$J$21,2,0),"")</f>
        <v/>
      </c>
      <c r="J182" s="18" t="str">
        <f>IFERROR(VLOOKUP(Tabela1[[#This Row],[Mat. 4]],'Base de Dados'!$I$5:$J$21,2,0),"")</f>
        <v/>
      </c>
      <c r="K182" s="18" t="str">
        <f>IFERROR(VLOOKUP(Tabela1[[#This Row],[Mat. 1]],'Base de Dados'!$I$2:$M$21,5,0),"")</f>
        <v>1º</v>
      </c>
      <c r="L182" s="18" t="s">
        <v>177</v>
      </c>
      <c r="M182" s="18" t="s">
        <v>316</v>
      </c>
      <c r="N182" s="18" t="s">
        <v>558</v>
      </c>
      <c r="O182" s="18">
        <v>2</v>
      </c>
      <c r="P182" s="18">
        <v>0</v>
      </c>
      <c r="Q182" s="45" t="s">
        <v>468</v>
      </c>
      <c r="R182" s="18" t="s">
        <v>116</v>
      </c>
      <c r="S182" s="18" t="str">
        <f>IFERROR(VLOOKUP(Tabela1[[#This Row],[Cód. Causa]],'Base de Dados'!$O$2:$P$21,2,0),"")</f>
        <v xml:space="preserve">EQUIPAMENTO TRABALHANDO COM CARGA EXCESSIVA </v>
      </c>
      <c r="T182" s="18" t="str">
        <f>IFERROR(VLOOKUP(Tabela1[[#This Row],[Tag]],'Base de Dados'!$B$2:$C$64,2,0),"")</f>
        <v>PRENSA COM INJEÇÃO PU 1</v>
      </c>
      <c r="U182" s="18" t="str">
        <f>IFERROR(VLOOKUP(Tabela1[[#This Row],[Tag]],'Base de Dados'!V182:W234,2,0),"")</f>
        <v/>
      </c>
      <c r="V182" s="18">
        <f>DAY(Tabela1[[#This Row],[Data]])</f>
        <v>25</v>
      </c>
      <c r="W182" s="18">
        <f>MONTH(Tabela1[[#This Row],[Data]])</f>
        <v>11</v>
      </c>
      <c r="X182" s="18">
        <f>YEAR(Tabela1[[#This Row],[Data]])</f>
        <v>2022</v>
      </c>
    </row>
    <row r="183" spans="1:24" hidden="1" x14ac:dyDescent="0.25">
      <c r="A183" s="22">
        <v>13178</v>
      </c>
      <c r="B183" s="21">
        <v>44890</v>
      </c>
      <c r="C183" s="23">
        <v>15</v>
      </c>
      <c r="D183" s="24"/>
      <c r="E183" s="24"/>
      <c r="F183" s="24"/>
      <c r="G183" s="18" t="str">
        <f>IFERROR(VLOOKUP(Tabela1[[#This Row],[Mat. 1]],'Base de Dados'!$I$5:$J$21,2,0),"")</f>
        <v>ROBERT</v>
      </c>
      <c r="H183" s="18" t="str">
        <f>IFERROR(VLOOKUP(Tabela1[[#This Row],[Mat. 2]],'Base de Dados'!$I$5:$J$21,2,0),"")</f>
        <v/>
      </c>
      <c r="I183" s="18" t="str">
        <f>IFERROR(VLOOKUP(Tabela1[[#This Row],[Mat. 3]],'Base de Dados'!$I$5:$J$21,2,0),"")</f>
        <v/>
      </c>
      <c r="J183" s="18" t="str">
        <f>IFERROR(VLOOKUP(Tabela1[[#This Row],[Mat. 4]],'Base de Dados'!$I$5:$J$21,2,0),"")</f>
        <v/>
      </c>
      <c r="K183" s="18" t="str">
        <f>IFERROR(VLOOKUP(Tabela1[[#This Row],[Mat. 1]],'Base de Dados'!$I$2:$M$21,5,0),"")</f>
        <v>1º</v>
      </c>
      <c r="L183" s="18" t="s">
        <v>328</v>
      </c>
      <c r="M183" s="18" t="s">
        <v>316</v>
      </c>
      <c r="N183" s="18" t="s">
        <v>558</v>
      </c>
      <c r="O183" s="18">
        <v>40</v>
      </c>
      <c r="P183" s="18">
        <v>0</v>
      </c>
      <c r="Q183" s="45" t="s">
        <v>469</v>
      </c>
      <c r="R183" s="18" t="s">
        <v>116</v>
      </c>
      <c r="S183" s="18" t="str">
        <f>IFERROR(VLOOKUP(Tabela1[[#This Row],[Cód. Causa]],'Base de Dados'!$O$2:$P$21,2,0),"")</f>
        <v xml:space="preserve">EQUIPAMENTO TRABALHANDO COM CARGA EXCESSIVA </v>
      </c>
      <c r="T183" s="18" t="str">
        <f>IFERROR(VLOOKUP(Tabela1[[#This Row],[Tag]],'Base de Dados'!$B$2:$C$64,2,0),"")</f>
        <v/>
      </c>
      <c r="U183" s="18" t="str">
        <f>IFERROR(VLOOKUP(Tabela1[[#This Row],[Tag]],'Base de Dados'!V183:W235,2,0),"")</f>
        <v/>
      </c>
      <c r="V183" s="18">
        <f>DAY(Tabela1[[#This Row],[Data]])</f>
        <v>25</v>
      </c>
      <c r="W183" s="18">
        <f>MONTH(Tabela1[[#This Row],[Data]])</f>
        <v>11</v>
      </c>
      <c r="X183" s="18">
        <f>YEAR(Tabela1[[#This Row],[Data]])</f>
        <v>2022</v>
      </c>
    </row>
    <row r="184" spans="1:24" hidden="1" x14ac:dyDescent="0.25">
      <c r="A184" s="22">
        <v>13179</v>
      </c>
      <c r="B184" s="21">
        <v>44890</v>
      </c>
      <c r="C184" s="23">
        <v>677</v>
      </c>
      <c r="D184" s="24">
        <v>540</v>
      </c>
      <c r="E184" s="24">
        <v>248</v>
      </c>
      <c r="F184" s="24"/>
      <c r="G184" s="18" t="str">
        <f>IFERROR(VLOOKUP(Tabela1[[#This Row],[Mat. 1]],'Base de Dados'!$I$5:$J$21,2,0),"")</f>
        <v>RAFAEL</v>
      </c>
      <c r="H184" s="18" t="str">
        <f>IFERROR(VLOOKUP(Tabela1[[#This Row],[Mat. 2]],'Base de Dados'!$I$5:$J$21,2,0),"")</f>
        <v>ANDERSON</v>
      </c>
      <c r="I184" s="18" t="str">
        <f>IFERROR(VLOOKUP(Tabela1[[#This Row],[Mat. 3]],'Base de Dados'!$I$5:$J$21,2,0),"")</f>
        <v>RUIGUENS</v>
      </c>
      <c r="J184" s="18" t="str">
        <f>IFERROR(VLOOKUP(Tabela1[[#This Row],[Mat. 4]],'Base de Dados'!$I$5:$J$21,2,0),"")</f>
        <v/>
      </c>
      <c r="K184" s="18" t="str">
        <f>IFERROR(VLOOKUP(Tabela1[[#This Row],[Mat. 1]],'Base de Dados'!$I$2:$M$21,5,0),"")</f>
        <v>2º</v>
      </c>
      <c r="L184" s="18" t="s">
        <v>470</v>
      </c>
      <c r="M184" s="18" t="s">
        <v>316</v>
      </c>
      <c r="N184" s="18" t="s">
        <v>558</v>
      </c>
      <c r="O184" s="18">
        <v>30</v>
      </c>
      <c r="P184" s="18">
        <v>0</v>
      </c>
      <c r="Q184" s="45" t="s">
        <v>471</v>
      </c>
      <c r="R184" s="18" t="s">
        <v>116</v>
      </c>
      <c r="S184" s="18" t="str">
        <f>IFERROR(VLOOKUP(Tabela1[[#This Row],[Cód. Causa]],'Base de Dados'!$O$2:$P$21,2,0),"")</f>
        <v xml:space="preserve">EQUIPAMENTO TRABALHANDO COM CARGA EXCESSIVA </v>
      </c>
      <c r="T184" s="18" t="str">
        <f>IFERROR(VLOOKUP(Tabela1[[#This Row],[Tag]],'Base de Dados'!$B$2:$C$64,2,0),"")</f>
        <v/>
      </c>
      <c r="U184" s="18" t="str">
        <f>IFERROR(VLOOKUP(Tabela1[[#This Row],[Tag]],'Base de Dados'!V184:W236,2,0),"")</f>
        <v/>
      </c>
      <c r="V184" s="18">
        <f>DAY(Tabela1[[#This Row],[Data]])</f>
        <v>25</v>
      </c>
      <c r="W184" s="18">
        <f>MONTH(Tabela1[[#This Row],[Data]])</f>
        <v>11</v>
      </c>
      <c r="X184" s="18">
        <f>YEAR(Tabela1[[#This Row],[Data]])</f>
        <v>2022</v>
      </c>
    </row>
    <row r="185" spans="1:24" hidden="1" x14ac:dyDescent="0.25">
      <c r="A185" s="22">
        <v>13966</v>
      </c>
      <c r="B185" s="21">
        <v>44890</v>
      </c>
      <c r="C185" s="23">
        <v>493</v>
      </c>
      <c r="D185" s="24"/>
      <c r="E185" s="24"/>
      <c r="F185" s="24"/>
      <c r="G185" s="18" t="str">
        <f>IFERROR(VLOOKUP(Tabela1[[#This Row],[Mat. 1]],'Base de Dados'!$I$5:$J$21,2,0),"")</f>
        <v>ELIAS</v>
      </c>
      <c r="H185" s="18" t="str">
        <f>IFERROR(VLOOKUP(Tabela1[[#This Row],[Mat. 2]],'Base de Dados'!$I$5:$J$21,2,0),"")</f>
        <v/>
      </c>
      <c r="I185" s="18" t="str">
        <f>IFERROR(VLOOKUP(Tabela1[[#This Row],[Mat. 3]],'Base de Dados'!$I$5:$J$21,2,0),"")</f>
        <v/>
      </c>
      <c r="J185" s="18" t="str">
        <f>IFERROR(VLOOKUP(Tabela1[[#This Row],[Mat. 4]],'Base de Dados'!$I$5:$J$21,2,0),"")</f>
        <v/>
      </c>
      <c r="K185" s="18" t="str">
        <f>IFERROR(VLOOKUP(Tabela1[[#This Row],[Mat. 1]],'Base de Dados'!$I$2:$M$21,5,0),"")</f>
        <v>1º</v>
      </c>
      <c r="L185" s="18" t="s">
        <v>42</v>
      </c>
      <c r="M185" s="18" t="s">
        <v>313</v>
      </c>
      <c r="N185" s="18" t="s">
        <v>558</v>
      </c>
      <c r="O185" s="18">
        <v>100</v>
      </c>
      <c r="P185" s="18">
        <v>0</v>
      </c>
      <c r="Q185" s="45" t="s">
        <v>472</v>
      </c>
      <c r="R185" s="18" t="s">
        <v>34</v>
      </c>
      <c r="S185" s="18" t="str">
        <f>IFERROR(VLOOKUP(Tabela1[[#This Row],[Cód. Causa]],'Base de Dados'!$O$2:$P$21,2,0),"")</f>
        <v>FALHA EM COMPONENTES ELETRONICO</v>
      </c>
      <c r="T185" s="18" t="str">
        <f>IFERROR(VLOOKUP(Tabela1[[#This Row],[Tag]],'Base de Dados'!$B$2:$C$64,2,0),"")</f>
        <v>INJETORA</v>
      </c>
      <c r="U185" s="18" t="str">
        <f>IFERROR(VLOOKUP(Tabela1[[#This Row],[Tag]],'Base de Dados'!V185:W237,2,0),"")</f>
        <v/>
      </c>
      <c r="V185" s="18">
        <f>DAY(Tabela1[[#This Row],[Data]])</f>
        <v>25</v>
      </c>
      <c r="W185" s="18">
        <f>MONTH(Tabela1[[#This Row],[Data]])</f>
        <v>11</v>
      </c>
      <c r="X185" s="18">
        <f>YEAR(Tabela1[[#This Row],[Data]])</f>
        <v>2022</v>
      </c>
    </row>
    <row r="186" spans="1:24" hidden="1" x14ac:dyDescent="0.25">
      <c r="A186" s="22">
        <v>13967</v>
      </c>
      <c r="B186" s="21">
        <v>44890</v>
      </c>
      <c r="C186" s="23">
        <v>592</v>
      </c>
      <c r="D186" s="24"/>
      <c r="E186" s="24"/>
      <c r="F186" s="24"/>
      <c r="G186" s="18" t="str">
        <f>IFERROR(VLOOKUP(Tabela1[[#This Row],[Mat. 1]],'Base de Dados'!$I$5:$J$21,2,0),"")</f>
        <v>CRISTIANO</v>
      </c>
      <c r="H186" s="18" t="str">
        <f>IFERROR(VLOOKUP(Tabela1[[#This Row],[Mat. 2]],'Base de Dados'!$I$5:$J$21,2,0),"")</f>
        <v/>
      </c>
      <c r="I186" s="18" t="str">
        <f>IFERROR(VLOOKUP(Tabela1[[#This Row],[Mat. 3]],'Base de Dados'!$I$5:$J$21,2,0),"")</f>
        <v/>
      </c>
      <c r="J186" s="18" t="str">
        <f>IFERROR(VLOOKUP(Tabela1[[#This Row],[Mat. 4]],'Base de Dados'!$I$5:$J$21,2,0),"")</f>
        <v/>
      </c>
      <c r="K186" s="18" t="str">
        <f>IFERROR(VLOOKUP(Tabela1[[#This Row],[Mat. 1]],'Base de Dados'!$I$2:$M$21,5,0),"")</f>
        <v>1º</v>
      </c>
      <c r="L186" s="18" t="s">
        <v>79</v>
      </c>
      <c r="M186" s="18" t="s">
        <v>316</v>
      </c>
      <c r="N186" s="18" t="s">
        <v>558</v>
      </c>
      <c r="O186" s="18">
        <v>35</v>
      </c>
      <c r="P186" s="18">
        <v>0</v>
      </c>
      <c r="Q186" s="45" t="s">
        <v>473</v>
      </c>
      <c r="R186" s="18" t="s">
        <v>116</v>
      </c>
      <c r="S186" s="18" t="str">
        <f>IFERROR(VLOOKUP(Tabela1[[#This Row],[Cód. Causa]],'Base de Dados'!$O$2:$P$21,2,0),"")</f>
        <v xml:space="preserve">EQUIPAMENTO TRABALHANDO COM CARGA EXCESSIVA </v>
      </c>
      <c r="T186" s="18" t="str">
        <f>IFERROR(VLOOKUP(Tabela1[[#This Row],[Tag]],'Base de Dados'!$B$2:$C$64,2,0),"")</f>
        <v>PRENSA COM INJEÇÃO PU INNER 03</v>
      </c>
      <c r="U186" s="18" t="str">
        <f>IFERROR(VLOOKUP(Tabela1[[#This Row],[Tag]],'Base de Dados'!V186:W238,2,0),"")</f>
        <v/>
      </c>
      <c r="V186" s="18">
        <f>DAY(Tabela1[[#This Row],[Data]])</f>
        <v>25</v>
      </c>
      <c r="W186" s="18">
        <f>MONTH(Tabela1[[#This Row],[Data]])</f>
        <v>11</v>
      </c>
      <c r="X186" s="18">
        <f>YEAR(Tabela1[[#This Row],[Data]])</f>
        <v>2022</v>
      </c>
    </row>
    <row r="187" spans="1:24" hidden="1" x14ac:dyDescent="0.25">
      <c r="A187" s="22">
        <v>13969</v>
      </c>
      <c r="B187" s="21">
        <v>44890</v>
      </c>
      <c r="C187" s="23">
        <v>739</v>
      </c>
      <c r="D187" s="24">
        <v>15</v>
      </c>
      <c r="E187" s="24"/>
      <c r="F187" s="24"/>
      <c r="G187" s="18" t="str">
        <f>IFERROR(VLOOKUP(Tabela1[[#This Row],[Mat. 1]],'Base de Dados'!$I$5:$J$21,2,0),"")</f>
        <v>DANILLO</v>
      </c>
      <c r="H187" s="18" t="str">
        <f>IFERROR(VLOOKUP(Tabela1[[#This Row],[Mat. 2]],'Base de Dados'!$I$5:$J$21,2,0),"")</f>
        <v>ROBERT</v>
      </c>
      <c r="I187" s="18" t="str">
        <f>IFERROR(VLOOKUP(Tabela1[[#This Row],[Mat. 3]],'Base de Dados'!$I$5:$J$21,2,0),"")</f>
        <v/>
      </c>
      <c r="J187" s="18" t="str">
        <f>IFERROR(VLOOKUP(Tabela1[[#This Row],[Mat. 4]],'Base de Dados'!$I$5:$J$21,2,0),"")</f>
        <v/>
      </c>
      <c r="K187" s="18" t="str">
        <f>IFERROR(VLOOKUP(Tabela1[[#This Row],[Mat. 1]],'Base de Dados'!$I$2:$M$21,5,0),"")</f>
        <v>1º</v>
      </c>
      <c r="L187" s="18" t="s">
        <v>112</v>
      </c>
      <c r="M187" s="18" t="s">
        <v>316</v>
      </c>
      <c r="N187" s="18" t="s">
        <v>558</v>
      </c>
      <c r="O187" s="18">
        <v>20</v>
      </c>
      <c r="P187" s="18">
        <v>0</v>
      </c>
      <c r="Q187" s="45" t="s">
        <v>474</v>
      </c>
      <c r="R187" s="18" t="s">
        <v>116</v>
      </c>
      <c r="S187" s="18" t="str">
        <f>IFERROR(VLOOKUP(Tabela1[[#This Row],[Cód. Causa]],'Base de Dados'!$O$2:$P$21,2,0),"")</f>
        <v xml:space="preserve">EQUIPAMENTO TRABALHANDO COM CARGA EXCESSIVA </v>
      </c>
      <c r="T187" s="18" t="str">
        <f>IFERROR(VLOOKUP(Tabela1[[#This Row],[Tag]],'Base de Dados'!$B$2:$C$64,2,0),"")</f>
        <v>ROBÔ ABB APLIC. COLA DO TETO</v>
      </c>
      <c r="U187" s="18" t="str">
        <f>IFERROR(VLOOKUP(Tabela1[[#This Row],[Tag]],'Base de Dados'!V187:W239,2,0),"")</f>
        <v/>
      </c>
      <c r="V187" s="18">
        <f>DAY(Tabela1[[#This Row],[Data]])</f>
        <v>25</v>
      </c>
      <c r="W187" s="18">
        <f>MONTH(Tabela1[[#This Row],[Data]])</f>
        <v>11</v>
      </c>
      <c r="X187" s="18">
        <f>YEAR(Tabela1[[#This Row],[Data]])</f>
        <v>2022</v>
      </c>
    </row>
    <row r="188" spans="1:24" hidden="1" x14ac:dyDescent="0.25">
      <c r="A188" s="22">
        <v>13970</v>
      </c>
      <c r="B188" s="21">
        <v>44890</v>
      </c>
      <c r="C188" s="23">
        <v>540</v>
      </c>
      <c r="D188" s="24">
        <v>677</v>
      </c>
      <c r="E188" s="24"/>
      <c r="F188" s="24"/>
      <c r="G188" s="18" t="str">
        <f>IFERROR(VLOOKUP(Tabela1[[#This Row],[Mat. 1]],'Base de Dados'!$I$5:$J$21,2,0),"")</f>
        <v>ANDERSON</v>
      </c>
      <c r="H188" s="18" t="str">
        <f>IFERROR(VLOOKUP(Tabela1[[#This Row],[Mat. 2]],'Base de Dados'!$I$5:$J$21,2,0),"")</f>
        <v>RAFAEL</v>
      </c>
      <c r="I188" s="18" t="str">
        <f>IFERROR(VLOOKUP(Tabela1[[#This Row],[Mat. 3]],'Base de Dados'!$I$5:$J$21,2,0),"")</f>
        <v/>
      </c>
      <c r="J188" s="18" t="str">
        <f>IFERROR(VLOOKUP(Tabela1[[#This Row],[Mat. 4]],'Base de Dados'!$I$5:$J$21,2,0),"")</f>
        <v/>
      </c>
      <c r="K188" s="18" t="str">
        <f>IFERROR(VLOOKUP(Tabela1[[#This Row],[Mat. 1]],'Base de Dados'!$I$2:$M$21,5,0),"")</f>
        <v>2º</v>
      </c>
      <c r="L188" s="18" t="s">
        <v>36</v>
      </c>
      <c r="M188" s="18" t="s">
        <v>316</v>
      </c>
      <c r="N188" s="18" t="s">
        <v>558</v>
      </c>
      <c r="O188" s="18">
        <v>39</v>
      </c>
      <c r="P188" s="18">
        <v>0</v>
      </c>
      <c r="Q188" s="45" t="s">
        <v>475</v>
      </c>
      <c r="R188" s="18" t="s">
        <v>116</v>
      </c>
      <c r="S188" s="18" t="str">
        <f>IFERROR(VLOOKUP(Tabela1[[#This Row],[Cód. Causa]],'Base de Dados'!$O$2:$P$21,2,0),"")</f>
        <v xml:space="preserve">EQUIPAMENTO TRABALHANDO COM CARGA EXCESSIVA </v>
      </c>
      <c r="T188" s="18" t="str">
        <f>IFERROR(VLOOKUP(Tabela1[[#This Row],[Tag]],'Base de Dados'!$B$2:$C$64,2,0),"")</f>
        <v>LAMINADORA</v>
      </c>
      <c r="U188" s="18" t="str">
        <f>IFERROR(VLOOKUP(Tabela1[[#This Row],[Tag]],'Base de Dados'!V188:W240,2,0),"")</f>
        <v/>
      </c>
      <c r="V188" s="18">
        <f>DAY(Tabela1[[#This Row],[Data]])</f>
        <v>25</v>
      </c>
      <c r="W188" s="18">
        <f>MONTH(Tabela1[[#This Row],[Data]])</f>
        <v>11</v>
      </c>
      <c r="X188" s="18">
        <f>YEAR(Tabela1[[#This Row],[Data]])</f>
        <v>2022</v>
      </c>
    </row>
    <row r="189" spans="1:24" hidden="1" x14ac:dyDescent="0.25">
      <c r="A189" s="22">
        <v>13971</v>
      </c>
      <c r="B189" s="21">
        <v>44890</v>
      </c>
      <c r="C189" s="23">
        <v>540</v>
      </c>
      <c r="D189" s="24"/>
      <c r="E189" s="24"/>
      <c r="F189" s="24"/>
      <c r="G189" s="18" t="str">
        <f>IFERROR(VLOOKUP(Tabela1[[#This Row],[Mat. 1]],'Base de Dados'!$I$5:$J$21,2,0),"")</f>
        <v>ANDERSON</v>
      </c>
      <c r="H189" s="18" t="str">
        <f>IFERROR(VLOOKUP(Tabela1[[#This Row],[Mat. 2]],'Base de Dados'!$I$5:$J$21,2,0),"")</f>
        <v/>
      </c>
      <c r="I189" s="18" t="str">
        <f>IFERROR(VLOOKUP(Tabela1[[#This Row],[Mat. 3]],'Base de Dados'!$I$5:$J$21,2,0),"")</f>
        <v/>
      </c>
      <c r="J189" s="18" t="str">
        <f>IFERROR(VLOOKUP(Tabela1[[#This Row],[Mat. 4]],'Base de Dados'!$I$5:$J$21,2,0),"")</f>
        <v/>
      </c>
      <c r="K189" s="18" t="str">
        <f>IFERROR(VLOOKUP(Tabela1[[#This Row],[Mat. 1]],'Base de Dados'!$I$2:$M$21,5,0),"")</f>
        <v>2º</v>
      </c>
      <c r="L189" s="18" t="s">
        <v>42</v>
      </c>
      <c r="M189" s="18" t="s">
        <v>316</v>
      </c>
      <c r="N189" s="18" t="s">
        <v>558</v>
      </c>
      <c r="O189" s="18">
        <v>8</v>
      </c>
      <c r="P189" s="18">
        <v>0</v>
      </c>
      <c r="Q189" s="45" t="s">
        <v>476</v>
      </c>
      <c r="R189" s="18" t="s">
        <v>116</v>
      </c>
      <c r="S189" s="18" t="str">
        <f>IFERROR(VLOOKUP(Tabela1[[#This Row],[Cód. Causa]],'Base de Dados'!$O$2:$P$21,2,0),"")</f>
        <v xml:space="preserve">EQUIPAMENTO TRABALHANDO COM CARGA EXCESSIVA </v>
      </c>
      <c r="T189" s="18" t="str">
        <f>IFERROR(VLOOKUP(Tabela1[[#This Row],[Tag]],'Base de Dados'!$B$2:$C$64,2,0),"")</f>
        <v>INJETORA</v>
      </c>
      <c r="U189" s="18" t="str">
        <f>IFERROR(VLOOKUP(Tabela1[[#This Row],[Tag]],'Base de Dados'!V189:W241,2,0),"")</f>
        <v/>
      </c>
      <c r="V189" s="18">
        <f>DAY(Tabela1[[#This Row],[Data]])</f>
        <v>25</v>
      </c>
      <c r="W189" s="18">
        <f>MONTH(Tabela1[[#This Row],[Data]])</f>
        <v>11</v>
      </c>
      <c r="X189" s="18">
        <f>YEAR(Tabela1[[#This Row],[Data]])</f>
        <v>2022</v>
      </c>
    </row>
    <row r="190" spans="1:24" hidden="1" x14ac:dyDescent="0.25">
      <c r="A190" s="22">
        <v>13989</v>
      </c>
      <c r="B190" s="21">
        <v>44890</v>
      </c>
      <c r="C190" s="23">
        <v>73</v>
      </c>
      <c r="D190" s="24">
        <v>444</v>
      </c>
      <c r="E190" s="24"/>
      <c r="F190" s="24"/>
      <c r="G190" s="18" t="str">
        <f>IFERROR(VLOOKUP(Tabela1[[#This Row],[Mat. 1]],'Base de Dados'!$I$5:$J$21,2,0),"")</f>
        <v>VALDEMAR</v>
      </c>
      <c r="H190" s="18" t="str">
        <f>IFERROR(VLOOKUP(Tabela1[[#This Row],[Mat. 2]],'Base de Dados'!$I$5:$J$21,2,0),"")</f>
        <v>EDUARDO</v>
      </c>
      <c r="I190" s="18" t="str">
        <f>IFERROR(VLOOKUP(Tabela1[[#This Row],[Mat. 3]],'Base de Dados'!$I$5:$J$21,2,0),"")</f>
        <v/>
      </c>
      <c r="J190" s="18" t="str">
        <f>IFERROR(VLOOKUP(Tabela1[[#This Row],[Mat. 4]],'Base de Dados'!$I$5:$J$21,2,0),"")</f>
        <v/>
      </c>
      <c r="K190" s="18" t="str">
        <f>IFERROR(VLOOKUP(Tabela1[[#This Row],[Mat. 1]],'Base de Dados'!$I$2:$M$21,5,0),"")</f>
        <v>3º</v>
      </c>
      <c r="L190" s="18" t="s">
        <v>183</v>
      </c>
      <c r="M190" s="18" t="s">
        <v>316</v>
      </c>
      <c r="N190" s="18" t="s">
        <v>558</v>
      </c>
      <c r="O190" s="18">
        <v>15</v>
      </c>
      <c r="P190" s="18">
        <v>0</v>
      </c>
      <c r="Q190" s="45" t="s">
        <v>477</v>
      </c>
      <c r="R190" s="18" t="s">
        <v>116</v>
      </c>
      <c r="S190" s="18" t="str">
        <f>IFERROR(VLOOKUP(Tabela1[[#This Row],[Cód. Causa]],'Base de Dados'!$O$2:$P$21,2,0),"")</f>
        <v xml:space="preserve">EQUIPAMENTO TRABALHANDO COM CARGA EXCESSIVA </v>
      </c>
      <c r="T190" s="18" t="str">
        <f>IFERROR(VLOOKUP(Tabela1[[#This Row],[Tag]],'Base de Dados'!$B$2:$C$64,2,0),"")</f>
        <v>INJETORA CARPETE</v>
      </c>
      <c r="U190" s="18" t="str">
        <f>IFERROR(VLOOKUP(Tabela1[[#This Row],[Tag]],'Base de Dados'!V190:W242,2,0),"")</f>
        <v/>
      </c>
      <c r="V190" s="18">
        <f>DAY(Tabela1[[#This Row],[Data]])</f>
        <v>25</v>
      </c>
      <c r="W190" s="18">
        <f>MONTH(Tabela1[[#This Row],[Data]])</f>
        <v>11</v>
      </c>
      <c r="X190" s="18">
        <f>YEAR(Tabela1[[#This Row],[Data]])</f>
        <v>2022</v>
      </c>
    </row>
    <row r="191" spans="1:24" hidden="1" x14ac:dyDescent="0.25">
      <c r="A191" s="22">
        <v>11798</v>
      </c>
      <c r="B191" s="21">
        <v>44891</v>
      </c>
      <c r="C191" s="23">
        <v>185</v>
      </c>
      <c r="D191" s="24">
        <v>592</v>
      </c>
      <c r="E191" s="24"/>
      <c r="F191" s="24"/>
      <c r="G191" s="18" t="str">
        <f>IFERROR(VLOOKUP(Tabela1[[#This Row],[Mat. 1]],'Base de Dados'!$I$5:$J$21,2,0),"")</f>
        <v>FELIPE</v>
      </c>
      <c r="H191" s="18" t="str">
        <f>IFERROR(VLOOKUP(Tabela1[[#This Row],[Mat. 2]],'Base de Dados'!$I$5:$J$21,2,0),"")</f>
        <v>CRISTIANO</v>
      </c>
      <c r="I191" s="18" t="str">
        <f>IFERROR(VLOOKUP(Tabela1[[#This Row],[Mat. 3]],'Base de Dados'!$I$5:$J$21,2,0),"")</f>
        <v/>
      </c>
      <c r="J191" s="18" t="str">
        <f>IFERROR(VLOOKUP(Tabela1[[#This Row],[Mat. 4]],'Base de Dados'!$I$5:$J$21,2,0),"")</f>
        <v/>
      </c>
      <c r="K191" s="18" t="str">
        <f>IFERROR(VLOOKUP(Tabela1[[#This Row],[Mat. 1]],'Base de Dados'!$I$2:$M$21,5,0),"")</f>
        <v>1º</v>
      </c>
      <c r="L191" s="18" t="s">
        <v>170</v>
      </c>
      <c r="M191" s="18" t="s">
        <v>316</v>
      </c>
      <c r="N191" s="18" t="s">
        <v>558</v>
      </c>
      <c r="O191" s="18">
        <v>40</v>
      </c>
      <c r="P191" s="18">
        <v>0</v>
      </c>
      <c r="Q191" s="45" t="s">
        <v>478</v>
      </c>
      <c r="R191" s="18" t="s">
        <v>116</v>
      </c>
      <c r="S191" s="18" t="str">
        <f>IFERROR(VLOOKUP(Tabela1[[#This Row],[Cód. Causa]],'Base de Dados'!$O$2:$P$21,2,0),"")</f>
        <v xml:space="preserve">EQUIPAMENTO TRABALHANDO COM CARGA EXCESSIVA </v>
      </c>
      <c r="T191" s="18" t="str">
        <f>IFERROR(VLOOKUP(Tabela1[[#This Row],[Tag]],'Base de Dados'!$B$2:$C$64,2,0),"")</f>
        <v>PRENSA MOLDAGEM ALUMINIO</v>
      </c>
      <c r="U191" s="18" t="str">
        <f>IFERROR(VLOOKUP(Tabela1[[#This Row],[Tag]],'Base de Dados'!V191:W243,2,0),"")</f>
        <v/>
      </c>
      <c r="V191" s="18">
        <f>DAY(Tabela1[[#This Row],[Data]])</f>
        <v>26</v>
      </c>
      <c r="W191" s="18">
        <f>MONTH(Tabela1[[#This Row],[Data]])</f>
        <v>11</v>
      </c>
      <c r="X191" s="18">
        <f>YEAR(Tabela1[[#This Row],[Data]])</f>
        <v>2022</v>
      </c>
    </row>
    <row r="192" spans="1:24" hidden="1" x14ac:dyDescent="0.25">
      <c r="A192" s="22">
        <v>12125</v>
      </c>
      <c r="B192" s="21">
        <v>44891</v>
      </c>
      <c r="C192" s="23">
        <v>592</v>
      </c>
      <c r="D192" s="24"/>
      <c r="E192" s="24"/>
      <c r="F192" s="24"/>
      <c r="G192" s="18" t="str">
        <f>IFERROR(VLOOKUP(Tabela1[[#This Row],[Mat. 1]],'Base de Dados'!$I$5:$J$21,2,0),"")</f>
        <v>CRISTIANO</v>
      </c>
      <c r="H192" s="18" t="str">
        <f>IFERROR(VLOOKUP(Tabela1[[#This Row],[Mat. 2]],'Base de Dados'!$I$5:$J$21,2,0),"")</f>
        <v/>
      </c>
      <c r="I192" s="18" t="str">
        <f>IFERROR(VLOOKUP(Tabela1[[#This Row],[Mat. 3]],'Base de Dados'!$I$5:$J$21,2,0),"")</f>
        <v/>
      </c>
      <c r="J192" s="18" t="str">
        <f>IFERROR(VLOOKUP(Tabela1[[#This Row],[Mat. 4]],'Base de Dados'!$I$5:$J$21,2,0),"")</f>
        <v/>
      </c>
      <c r="K192" s="18" t="str">
        <f>IFERROR(VLOOKUP(Tabela1[[#This Row],[Mat. 1]],'Base de Dados'!$I$2:$M$21,5,0),"")</f>
        <v>1º</v>
      </c>
      <c r="L192" s="18" t="s">
        <v>141</v>
      </c>
      <c r="M192" s="18" t="s">
        <v>316</v>
      </c>
      <c r="N192" s="18" t="s">
        <v>558</v>
      </c>
      <c r="O192" s="18">
        <v>60</v>
      </c>
      <c r="P192" s="18">
        <v>0</v>
      </c>
      <c r="Q192" s="45" t="s">
        <v>479</v>
      </c>
      <c r="R192" s="18" t="s">
        <v>116</v>
      </c>
      <c r="S192" s="18" t="str">
        <f>IFERROR(VLOOKUP(Tabela1[[#This Row],[Cód. Causa]],'Base de Dados'!$O$2:$P$21,2,0),"")</f>
        <v xml:space="preserve">EQUIPAMENTO TRABALHANDO COM CARGA EXCESSIVA </v>
      </c>
      <c r="T192" s="18" t="str">
        <f>IFERROR(VLOOKUP(Tabela1[[#This Row],[Tag]],'Base de Dados'!$B$2:$C$64,2,0),"")</f>
        <v>CORTE DO TETO  - WATER JET 2</v>
      </c>
      <c r="U192" s="18" t="str">
        <f>IFERROR(VLOOKUP(Tabela1[[#This Row],[Tag]],'Base de Dados'!V192:W244,2,0),"")</f>
        <v/>
      </c>
      <c r="V192" s="18">
        <f>DAY(Tabela1[[#This Row],[Data]])</f>
        <v>26</v>
      </c>
      <c r="W192" s="18">
        <f>MONTH(Tabela1[[#This Row],[Data]])</f>
        <v>11</v>
      </c>
      <c r="X192" s="18">
        <f>YEAR(Tabela1[[#This Row],[Data]])</f>
        <v>2022</v>
      </c>
    </row>
    <row r="193" spans="1:24" hidden="1" x14ac:dyDescent="0.25">
      <c r="A193" s="22">
        <v>13019</v>
      </c>
      <c r="B193" s="21">
        <v>44891</v>
      </c>
      <c r="C193" s="23">
        <v>267</v>
      </c>
      <c r="D193" s="24">
        <v>631</v>
      </c>
      <c r="E193" s="24"/>
      <c r="F193" s="24"/>
      <c r="G193" s="18" t="str">
        <f>IFERROR(VLOOKUP(Tabela1[[#This Row],[Mat. 1]],'Base de Dados'!$I$5:$J$21,2,0),"")</f>
        <v/>
      </c>
      <c r="H193" s="18" t="str">
        <f>IFERROR(VLOOKUP(Tabela1[[#This Row],[Mat. 2]],'Base de Dados'!$I$5:$J$21,2,0),"")</f>
        <v>JOSINALDO</v>
      </c>
      <c r="I193" s="18" t="str">
        <f>IFERROR(VLOOKUP(Tabela1[[#This Row],[Mat. 3]],'Base de Dados'!$I$5:$J$21,2,0),"")</f>
        <v/>
      </c>
      <c r="J193" s="18" t="str">
        <f>IFERROR(VLOOKUP(Tabela1[[#This Row],[Mat. 4]],'Base de Dados'!$I$5:$J$21,2,0),"")</f>
        <v/>
      </c>
      <c r="K193" s="18" t="str">
        <f>IFERROR(VLOOKUP(Tabela1[[#This Row],[Mat. 1]],'Base de Dados'!$I$2:$M$21,5,0),"")</f>
        <v>2º</v>
      </c>
      <c r="L193" s="18" t="s">
        <v>118</v>
      </c>
      <c r="M193" s="18" t="s">
        <v>313</v>
      </c>
      <c r="N193" s="18" t="s">
        <v>558</v>
      </c>
      <c r="O193" s="18">
        <v>15</v>
      </c>
      <c r="P193" s="18">
        <v>0</v>
      </c>
      <c r="Q193" s="45" t="s">
        <v>480</v>
      </c>
      <c r="R193" s="18" t="s">
        <v>34</v>
      </c>
      <c r="S193" s="18" t="str">
        <f>IFERROR(VLOOKUP(Tabela1[[#This Row],[Cód. Causa]],'Base de Dados'!$O$2:$P$21,2,0),"")</f>
        <v>FALHA EM COMPONENTES ELETRONICO</v>
      </c>
      <c r="T193" s="18" t="str">
        <f>IFERROR(VLOOKUP(Tabela1[[#This Row],[Tag]],'Base de Dados'!$B$2:$C$64,2,0),"")</f>
        <v>FORNO DO TETO</v>
      </c>
      <c r="U193" s="18" t="str">
        <f>IFERROR(VLOOKUP(Tabela1[[#This Row],[Tag]],'Base de Dados'!V193:W245,2,0),"")</f>
        <v/>
      </c>
      <c r="V193" s="18">
        <f>DAY(Tabela1[[#This Row],[Data]])</f>
        <v>26</v>
      </c>
      <c r="W193" s="18">
        <f>MONTH(Tabela1[[#This Row],[Data]])</f>
        <v>11</v>
      </c>
      <c r="X193" s="18">
        <f>YEAR(Tabela1[[#This Row],[Data]])</f>
        <v>2022</v>
      </c>
    </row>
    <row r="194" spans="1:24" hidden="1" x14ac:dyDescent="0.25">
      <c r="A194" s="22">
        <v>13126</v>
      </c>
      <c r="B194" s="21">
        <v>44891</v>
      </c>
      <c r="C194" s="23">
        <v>739</v>
      </c>
      <c r="D194" s="24"/>
      <c r="E194" s="24"/>
      <c r="F194" s="24"/>
      <c r="G194" s="18" t="str">
        <f>IFERROR(VLOOKUP(Tabela1[[#This Row],[Mat. 1]],'Base de Dados'!$I$5:$J$21,2,0),"")</f>
        <v>DANILLO</v>
      </c>
      <c r="H194" s="18" t="str">
        <f>IFERROR(VLOOKUP(Tabela1[[#This Row],[Mat. 2]],'Base de Dados'!$I$5:$J$21,2,0),"")</f>
        <v/>
      </c>
      <c r="I194" s="18" t="str">
        <f>IFERROR(VLOOKUP(Tabela1[[#This Row],[Mat. 3]],'Base de Dados'!$I$5:$J$21,2,0),"")</f>
        <v/>
      </c>
      <c r="J194" s="18" t="str">
        <f>IFERROR(VLOOKUP(Tabela1[[#This Row],[Mat. 4]],'Base de Dados'!$I$5:$J$21,2,0),"")</f>
        <v/>
      </c>
      <c r="K194" s="18" t="str">
        <f>IFERROR(VLOOKUP(Tabela1[[#This Row],[Mat. 1]],'Base de Dados'!$I$2:$M$21,5,0),"")</f>
        <v>1º</v>
      </c>
      <c r="L194" s="18" t="s">
        <v>481</v>
      </c>
      <c r="M194" s="18" t="s">
        <v>313</v>
      </c>
      <c r="N194" s="18" t="s">
        <v>558</v>
      </c>
      <c r="O194" s="18">
        <v>25</v>
      </c>
      <c r="P194" s="18">
        <v>0</v>
      </c>
      <c r="Q194" s="45" t="s">
        <v>482</v>
      </c>
      <c r="R194" s="18" t="s">
        <v>116</v>
      </c>
      <c r="S194" s="18" t="str">
        <f>IFERROR(VLOOKUP(Tabela1[[#This Row],[Cód. Causa]],'Base de Dados'!$O$2:$P$21,2,0),"")</f>
        <v xml:space="preserve">EQUIPAMENTO TRABALHANDO COM CARGA EXCESSIVA </v>
      </c>
      <c r="T194" s="18" t="str">
        <f>IFERROR(VLOOKUP(Tabela1[[#This Row],[Tag]],'Base de Dados'!$B$2:$C$64,2,0),"")</f>
        <v/>
      </c>
      <c r="U194" s="18" t="str">
        <f>IFERROR(VLOOKUP(Tabela1[[#This Row],[Tag]],'Base de Dados'!V194:W246,2,0),"")</f>
        <v/>
      </c>
      <c r="V194" s="18">
        <f>DAY(Tabela1[[#This Row],[Data]])</f>
        <v>26</v>
      </c>
      <c r="W194" s="18">
        <f>MONTH(Tabela1[[#This Row],[Data]])</f>
        <v>11</v>
      </c>
      <c r="X194" s="18">
        <f>YEAR(Tabela1[[#This Row],[Data]])</f>
        <v>2022</v>
      </c>
    </row>
    <row r="195" spans="1:24" hidden="1" x14ac:dyDescent="0.25">
      <c r="A195" s="22">
        <v>13181</v>
      </c>
      <c r="B195" s="21">
        <v>44891</v>
      </c>
      <c r="C195" s="23">
        <v>782</v>
      </c>
      <c r="D195" s="24"/>
      <c r="E195" s="24"/>
      <c r="F195" s="24"/>
      <c r="G195" s="18" t="str">
        <f>IFERROR(VLOOKUP(Tabela1[[#This Row],[Mat. 1]],'Base de Dados'!$I$5:$J$21,2,0),"")</f>
        <v>JOSÉ</v>
      </c>
      <c r="H195" s="18" t="str">
        <f>IFERROR(VLOOKUP(Tabela1[[#This Row],[Mat. 2]],'Base de Dados'!$I$5:$J$21,2,0),"")</f>
        <v/>
      </c>
      <c r="I195" s="18" t="str">
        <f>IFERROR(VLOOKUP(Tabela1[[#This Row],[Mat. 3]],'Base de Dados'!$I$5:$J$21,2,0),"")</f>
        <v/>
      </c>
      <c r="J195" s="18" t="str">
        <f>IFERROR(VLOOKUP(Tabela1[[#This Row],[Mat. 4]],'Base de Dados'!$I$5:$J$21,2,0),"")</f>
        <v/>
      </c>
      <c r="K195" s="18" t="str">
        <f>IFERROR(VLOOKUP(Tabela1[[#This Row],[Mat. 1]],'Base de Dados'!$I$2:$M$21,5,0),"")</f>
        <v>3º</v>
      </c>
      <c r="L195" s="18" t="s">
        <v>183</v>
      </c>
      <c r="M195" s="18" t="s">
        <v>313</v>
      </c>
      <c r="N195" s="18" t="s">
        <v>558</v>
      </c>
      <c r="O195" s="18">
        <v>5</v>
      </c>
      <c r="P195" s="18">
        <v>0</v>
      </c>
      <c r="Q195" s="45" t="s">
        <v>483</v>
      </c>
      <c r="R195" s="18" t="s">
        <v>34</v>
      </c>
      <c r="S195" s="18" t="str">
        <f>IFERROR(VLOOKUP(Tabela1[[#This Row],[Cód. Causa]],'Base de Dados'!$O$2:$P$21,2,0),"")</f>
        <v>FALHA EM COMPONENTES ELETRONICO</v>
      </c>
      <c r="T195" s="18" t="str">
        <f>IFERROR(VLOOKUP(Tabela1[[#This Row],[Tag]],'Base de Dados'!$B$2:$C$64,2,0),"")</f>
        <v>INJETORA CARPETE</v>
      </c>
      <c r="U195" s="18" t="str">
        <f>IFERROR(VLOOKUP(Tabela1[[#This Row],[Tag]],'Base de Dados'!V195:W247,2,0),"")</f>
        <v/>
      </c>
      <c r="V195" s="18">
        <f>DAY(Tabela1[[#This Row],[Data]])</f>
        <v>26</v>
      </c>
      <c r="W195" s="18">
        <f>MONTH(Tabela1[[#This Row],[Data]])</f>
        <v>11</v>
      </c>
      <c r="X195" s="18">
        <f>YEAR(Tabela1[[#This Row],[Data]])</f>
        <v>2022</v>
      </c>
    </row>
    <row r="196" spans="1:24" hidden="1" x14ac:dyDescent="0.25">
      <c r="A196" s="22">
        <v>13972</v>
      </c>
      <c r="B196" s="21">
        <v>44891</v>
      </c>
      <c r="C196" s="23">
        <v>493</v>
      </c>
      <c r="D196" s="24"/>
      <c r="E196" s="24"/>
      <c r="F196" s="24"/>
      <c r="G196" s="18" t="str">
        <f>IFERROR(VLOOKUP(Tabela1[[#This Row],[Mat. 1]],'Base de Dados'!$I$5:$J$21,2,0),"")</f>
        <v>ELIAS</v>
      </c>
      <c r="H196" s="18" t="str">
        <f>IFERROR(VLOOKUP(Tabela1[[#This Row],[Mat. 2]],'Base de Dados'!$I$5:$J$21,2,0),"")</f>
        <v/>
      </c>
      <c r="I196" s="18" t="str">
        <f>IFERROR(VLOOKUP(Tabela1[[#This Row],[Mat. 3]],'Base de Dados'!$I$5:$J$21,2,0),"")</f>
        <v/>
      </c>
      <c r="J196" s="18" t="str">
        <f>IFERROR(VLOOKUP(Tabela1[[#This Row],[Mat. 4]],'Base de Dados'!$I$5:$J$21,2,0),"")</f>
        <v/>
      </c>
      <c r="K196" s="18" t="str">
        <f>IFERROR(VLOOKUP(Tabela1[[#This Row],[Mat. 1]],'Base de Dados'!$I$2:$M$21,5,0),"")</f>
        <v>1º</v>
      </c>
      <c r="L196" s="18" t="s">
        <v>36</v>
      </c>
      <c r="M196" s="18" t="s">
        <v>316</v>
      </c>
      <c r="N196" s="18" t="s">
        <v>558</v>
      </c>
      <c r="O196" s="18">
        <v>80</v>
      </c>
      <c r="P196" s="18">
        <v>0</v>
      </c>
      <c r="Q196" s="45" t="s">
        <v>484</v>
      </c>
      <c r="R196" s="18" t="s">
        <v>116</v>
      </c>
      <c r="S196" s="18" t="str">
        <f>IFERROR(VLOOKUP(Tabela1[[#This Row],[Cód. Causa]],'Base de Dados'!$O$2:$P$21,2,0),"")</f>
        <v xml:space="preserve">EQUIPAMENTO TRABALHANDO COM CARGA EXCESSIVA </v>
      </c>
      <c r="T196" s="18" t="str">
        <f>IFERROR(VLOOKUP(Tabela1[[#This Row],[Tag]],'Base de Dados'!$B$2:$C$64,2,0),"")</f>
        <v>LAMINADORA</v>
      </c>
      <c r="U196" s="18" t="str">
        <f>IFERROR(VLOOKUP(Tabela1[[#This Row],[Tag]],'Base de Dados'!V196:W248,2,0),"")</f>
        <v/>
      </c>
      <c r="V196" s="18">
        <f>DAY(Tabela1[[#This Row],[Data]])</f>
        <v>26</v>
      </c>
      <c r="W196" s="18">
        <f>MONTH(Tabela1[[#This Row],[Data]])</f>
        <v>11</v>
      </c>
      <c r="X196" s="18">
        <f>YEAR(Tabela1[[#This Row],[Data]])</f>
        <v>2022</v>
      </c>
    </row>
    <row r="197" spans="1:24" hidden="1" x14ac:dyDescent="0.25">
      <c r="A197" s="22">
        <v>13973</v>
      </c>
      <c r="B197" s="21">
        <v>44891</v>
      </c>
      <c r="C197" s="23">
        <v>631</v>
      </c>
      <c r="D197" s="24"/>
      <c r="E197" s="24"/>
      <c r="F197" s="24"/>
      <c r="G197" s="18" t="str">
        <f>IFERROR(VLOOKUP(Tabela1[[#This Row],[Mat. 1]],'Base de Dados'!$I$5:$J$21,2,0),"")</f>
        <v>JOSINALDO</v>
      </c>
      <c r="H197" s="18" t="str">
        <f>IFERROR(VLOOKUP(Tabela1[[#This Row],[Mat. 2]],'Base de Dados'!$I$5:$J$21,2,0),"")</f>
        <v/>
      </c>
      <c r="I197" s="18" t="str">
        <f>IFERROR(VLOOKUP(Tabela1[[#This Row],[Mat. 3]],'Base de Dados'!$I$5:$J$21,2,0),"")</f>
        <v/>
      </c>
      <c r="J197" s="18" t="str">
        <f>IFERROR(VLOOKUP(Tabela1[[#This Row],[Mat. 4]],'Base de Dados'!$I$5:$J$21,2,0),"")</f>
        <v/>
      </c>
      <c r="K197" s="18" t="str">
        <f>IFERROR(VLOOKUP(Tabela1[[#This Row],[Mat. 1]],'Base de Dados'!$I$2:$M$21,5,0),"")</f>
        <v>2º</v>
      </c>
      <c r="L197" s="18" t="s">
        <v>79</v>
      </c>
      <c r="M197" s="18" t="s">
        <v>313</v>
      </c>
      <c r="N197" s="18" t="s">
        <v>558</v>
      </c>
      <c r="O197" s="18">
        <v>20</v>
      </c>
      <c r="P197" s="18">
        <v>0</v>
      </c>
      <c r="Q197" s="45" t="s">
        <v>332</v>
      </c>
      <c r="R197" s="18" t="s">
        <v>34</v>
      </c>
      <c r="S197" s="18" t="str">
        <f>IFERROR(VLOOKUP(Tabela1[[#This Row],[Cód. Causa]],'Base de Dados'!$O$2:$P$21,2,0),"")</f>
        <v>FALHA EM COMPONENTES ELETRONICO</v>
      </c>
      <c r="T197" s="18" t="str">
        <f>IFERROR(VLOOKUP(Tabela1[[#This Row],[Tag]],'Base de Dados'!$B$2:$C$64,2,0),"")</f>
        <v>PRENSA COM INJEÇÃO PU INNER 03</v>
      </c>
      <c r="U197" s="18" t="str">
        <f>IFERROR(VLOOKUP(Tabela1[[#This Row],[Tag]],'Base de Dados'!V197:W249,2,0),"")</f>
        <v/>
      </c>
      <c r="V197" s="18">
        <f>DAY(Tabela1[[#This Row],[Data]])</f>
        <v>26</v>
      </c>
      <c r="W197" s="18">
        <f>MONTH(Tabela1[[#This Row],[Data]])</f>
        <v>11</v>
      </c>
      <c r="X197" s="18">
        <f>YEAR(Tabela1[[#This Row],[Data]])</f>
        <v>2022</v>
      </c>
    </row>
    <row r="198" spans="1:24" hidden="1" x14ac:dyDescent="0.25">
      <c r="A198" s="22">
        <v>13974</v>
      </c>
      <c r="B198" s="21">
        <v>44891</v>
      </c>
      <c r="C198" s="23">
        <v>267</v>
      </c>
      <c r="D198" s="24">
        <v>631</v>
      </c>
      <c r="E198" s="24"/>
      <c r="F198" s="24"/>
      <c r="G198" s="18" t="str">
        <f>IFERROR(VLOOKUP(Tabela1[[#This Row],[Mat. 1]],'Base de Dados'!$I$5:$J$21,2,0),"")</f>
        <v/>
      </c>
      <c r="H198" s="18" t="str">
        <f>IFERROR(VLOOKUP(Tabela1[[#This Row],[Mat. 2]],'Base de Dados'!$I$5:$J$21,2,0),"")</f>
        <v>JOSINALDO</v>
      </c>
      <c r="I198" s="18" t="str">
        <f>IFERROR(VLOOKUP(Tabela1[[#This Row],[Mat. 3]],'Base de Dados'!$I$5:$J$21,2,0),"")</f>
        <v/>
      </c>
      <c r="J198" s="18" t="str">
        <f>IFERROR(VLOOKUP(Tabela1[[#This Row],[Mat. 4]],'Base de Dados'!$I$5:$J$21,2,0),"")</f>
        <v/>
      </c>
      <c r="K198" s="18" t="str">
        <f>IFERROR(VLOOKUP(Tabela1[[#This Row],[Mat. 1]],'Base de Dados'!$I$2:$M$21,5,0),"")</f>
        <v>2º</v>
      </c>
      <c r="L198" s="18" t="s">
        <v>145</v>
      </c>
      <c r="M198" s="18" t="s">
        <v>313</v>
      </c>
      <c r="N198" s="18" t="s">
        <v>558</v>
      </c>
      <c r="O198" s="18">
        <v>12</v>
      </c>
      <c r="P198" s="18">
        <v>0</v>
      </c>
      <c r="Q198" s="45" t="s">
        <v>485</v>
      </c>
      <c r="R198" s="18" t="s">
        <v>34</v>
      </c>
      <c r="S198" s="18" t="str">
        <f>IFERROR(VLOOKUP(Tabela1[[#This Row],[Cód. Causa]],'Base de Dados'!$O$2:$P$21,2,0),"")</f>
        <v>FALHA EM COMPONENTES ELETRONICO</v>
      </c>
      <c r="T198" s="18" t="str">
        <f>IFERROR(VLOOKUP(Tabela1[[#This Row],[Tag]],'Base de Dados'!$B$2:$C$64,2,0),"")</f>
        <v>VIROLA DO TETO 521</v>
      </c>
      <c r="U198" s="18" t="str">
        <f>IFERROR(VLOOKUP(Tabela1[[#This Row],[Tag]],'Base de Dados'!V198:W250,2,0),"")</f>
        <v/>
      </c>
      <c r="V198" s="18">
        <f>DAY(Tabela1[[#This Row],[Data]])</f>
        <v>26</v>
      </c>
      <c r="W198" s="18">
        <f>MONTH(Tabela1[[#This Row],[Data]])</f>
        <v>11</v>
      </c>
      <c r="X198" s="18">
        <f>YEAR(Tabela1[[#This Row],[Data]])</f>
        <v>2022</v>
      </c>
    </row>
    <row r="199" spans="1:24" hidden="1" x14ac:dyDescent="0.25">
      <c r="A199" s="22">
        <v>11494</v>
      </c>
      <c r="B199" s="21">
        <v>44892</v>
      </c>
      <c r="C199" s="23">
        <v>592</v>
      </c>
      <c r="D199" s="24"/>
      <c r="E199" s="24"/>
      <c r="F199" s="24"/>
      <c r="G199" s="18" t="str">
        <f>IFERROR(VLOOKUP(Tabela1[[#This Row],[Mat. 1]],'Base de Dados'!$I$5:$J$21,2,0),"")</f>
        <v>CRISTIANO</v>
      </c>
      <c r="H199" s="18" t="str">
        <f>IFERROR(VLOOKUP(Tabela1[[#This Row],[Mat. 2]],'Base de Dados'!$I$5:$J$21,2,0),"")</f>
        <v/>
      </c>
      <c r="I199" s="18" t="str">
        <f>IFERROR(VLOOKUP(Tabela1[[#This Row],[Mat. 3]],'Base de Dados'!$I$5:$J$21,2,0),"")</f>
        <v/>
      </c>
      <c r="J199" s="18" t="str">
        <f>IFERROR(VLOOKUP(Tabela1[[#This Row],[Mat. 4]],'Base de Dados'!$I$5:$J$21,2,0),"")</f>
        <v/>
      </c>
      <c r="K199" s="18" t="str">
        <f>IFERROR(VLOOKUP(Tabela1[[#This Row],[Mat. 1]],'Base de Dados'!$I$2:$M$21,5,0),"")</f>
        <v>1º</v>
      </c>
      <c r="L199" s="18" t="s">
        <v>79</v>
      </c>
      <c r="M199" s="18" t="s">
        <v>316</v>
      </c>
      <c r="N199" s="18" t="s">
        <v>558</v>
      </c>
      <c r="O199" s="18">
        <v>25</v>
      </c>
      <c r="P199" s="18">
        <v>0</v>
      </c>
      <c r="Q199" s="45" t="s">
        <v>473</v>
      </c>
      <c r="R199" s="18" t="s">
        <v>116</v>
      </c>
      <c r="S199" s="18" t="str">
        <f>IFERROR(VLOOKUP(Tabela1[[#This Row],[Cód. Causa]],'Base de Dados'!$O$2:$P$21,2,0),"")</f>
        <v xml:space="preserve">EQUIPAMENTO TRABALHANDO COM CARGA EXCESSIVA </v>
      </c>
      <c r="T199" s="18" t="str">
        <f>IFERROR(VLOOKUP(Tabela1[[#This Row],[Tag]],'Base de Dados'!$B$2:$C$64,2,0),"")</f>
        <v>PRENSA COM INJEÇÃO PU INNER 03</v>
      </c>
      <c r="U199" s="18" t="str">
        <f>IFERROR(VLOOKUP(Tabela1[[#This Row],[Tag]],'Base de Dados'!V199:W251,2,0),"")</f>
        <v/>
      </c>
      <c r="V199" s="18">
        <f>DAY(Tabela1[[#This Row],[Data]])</f>
        <v>27</v>
      </c>
      <c r="W199" s="18">
        <f>MONTH(Tabela1[[#This Row],[Data]])</f>
        <v>11</v>
      </c>
      <c r="X199" s="18">
        <f>YEAR(Tabela1[[#This Row],[Data]])</f>
        <v>2022</v>
      </c>
    </row>
    <row r="200" spans="1:24" hidden="1" x14ac:dyDescent="0.25">
      <c r="A200" s="22">
        <v>13020</v>
      </c>
      <c r="B200" s="21">
        <v>44892</v>
      </c>
      <c r="C200" s="23">
        <v>444</v>
      </c>
      <c r="D200" s="24"/>
      <c r="E200" s="24"/>
      <c r="F200" s="24"/>
      <c r="G200" s="18" t="str">
        <f>IFERROR(VLOOKUP(Tabela1[[#This Row],[Mat. 1]],'Base de Dados'!$I$5:$J$21,2,0),"")</f>
        <v>EDUARDO</v>
      </c>
      <c r="H200" s="18" t="str">
        <f>IFERROR(VLOOKUP(Tabela1[[#This Row],[Mat. 2]],'Base de Dados'!$I$5:$J$21,2,0),"")</f>
        <v/>
      </c>
      <c r="I200" s="18" t="str">
        <f>IFERROR(VLOOKUP(Tabela1[[#This Row],[Mat. 3]],'Base de Dados'!$I$5:$J$21,2,0),"")</f>
        <v/>
      </c>
      <c r="J200" s="18" t="str">
        <f>IFERROR(VLOOKUP(Tabela1[[#This Row],[Mat. 4]],'Base de Dados'!$I$5:$J$21,2,0),"")</f>
        <v/>
      </c>
      <c r="K200" s="18" t="str">
        <f>IFERROR(VLOOKUP(Tabela1[[#This Row],[Mat. 1]],'Base de Dados'!$I$2:$M$21,5,0),"")</f>
        <v>3º</v>
      </c>
      <c r="L200" s="18" t="s">
        <v>112</v>
      </c>
      <c r="M200" s="18" t="s">
        <v>316</v>
      </c>
      <c r="N200" s="18" t="s">
        <v>558</v>
      </c>
      <c r="O200" s="18">
        <v>60</v>
      </c>
      <c r="P200" s="18">
        <v>0</v>
      </c>
      <c r="Q200" s="45" t="s">
        <v>486</v>
      </c>
      <c r="R200" s="18" t="s">
        <v>116</v>
      </c>
      <c r="S200" s="18" t="str">
        <f>IFERROR(VLOOKUP(Tabela1[[#This Row],[Cód. Causa]],'Base de Dados'!$O$2:$P$21,2,0),"")</f>
        <v xml:space="preserve">EQUIPAMENTO TRABALHANDO COM CARGA EXCESSIVA </v>
      </c>
      <c r="T200" s="18" t="str">
        <f>IFERROR(VLOOKUP(Tabela1[[#This Row],[Tag]],'Base de Dados'!$B$2:$C$64,2,0),"")</f>
        <v>ROBÔ ABB APLIC. COLA DO TETO</v>
      </c>
      <c r="U200" s="18" t="str">
        <f>IFERROR(VLOOKUP(Tabela1[[#This Row],[Tag]],'Base de Dados'!V200:W252,2,0),"")</f>
        <v/>
      </c>
      <c r="V200" s="18">
        <f>DAY(Tabela1[[#This Row],[Data]])</f>
        <v>27</v>
      </c>
      <c r="W200" s="18">
        <f>MONTH(Tabela1[[#This Row],[Data]])</f>
        <v>11</v>
      </c>
      <c r="X200" s="18">
        <f>YEAR(Tabela1[[#This Row],[Data]])</f>
        <v>2022</v>
      </c>
    </row>
    <row r="201" spans="1:24" hidden="1" x14ac:dyDescent="0.25">
      <c r="A201" s="22">
        <v>13128</v>
      </c>
      <c r="B201" s="21">
        <v>44892</v>
      </c>
      <c r="C201" s="23">
        <v>185</v>
      </c>
      <c r="D201" s="24"/>
      <c r="E201" s="24"/>
      <c r="F201" s="24"/>
      <c r="G201" s="18" t="str">
        <f>IFERROR(VLOOKUP(Tabela1[[#This Row],[Mat. 1]],'Base de Dados'!$I$5:$J$21,2,0),"")</f>
        <v>FELIPE</v>
      </c>
      <c r="H201" s="18" t="str">
        <f>IFERROR(VLOOKUP(Tabela1[[#This Row],[Mat. 2]],'Base de Dados'!$I$5:$J$21,2,0),"")</f>
        <v/>
      </c>
      <c r="I201" s="18" t="str">
        <f>IFERROR(VLOOKUP(Tabela1[[#This Row],[Mat. 3]],'Base de Dados'!$I$5:$J$21,2,0),"")</f>
        <v/>
      </c>
      <c r="J201" s="18" t="str">
        <f>IFERROR(VLOOKUP(Tabela1[[#This Row],[Mat. 4]],'Base de Dados'!$I$5:$J$21,2,0),"")</f>
        <v/>
      </c>
      <c r="K201" s="18" t="str">
        <f>IFERROR(VLOOKUP(Tabela1[[#This Row],[Mat. 1]],'Base de Dados'!$I$2:$M$21,5,0),"")</f>
        <v>1º</v>
      </c>
      <c r="L201" s="18" t="s">
        <v>141</v>
      </c>
      <c r="M201" s="18" t="s">
        <v>316</v>
      </c>
      <c r="N201" s="18" t="s">
        <v>558</v>
      </c>
      <c r="O201" s="18">
        <v>10</v>
      </c>
      <c r="P201" s="18">
        <v>0</v>
      </c>
      <c r="Q201" s="45" t="s">
        <v>487</v>
      </c>
      <c r="R201" s="18" t="s">
        <v>116</v>
      </c>
      <c r="S201" s="18" t="str">
        <f>IFERROR(VLOOKUP(Tabela1[[#This Row],[Cód. Causa]],'Base de Dados'!$O$2:$P$21,2,0),"")</f>
        <v xml:space="preserve">EQUIPAMENTO TRABALHANDO COM CARGA EXCESSIVA </v>
      </c>
      <c r="T201" s="18" t="str">
        <f>IFERROR(VLOOKUP(Tabela1[[#This Row],[Tag]],'Base de Dados'!$B$2:$C$64,2,0),"")</f>
        <v>CORTE DO TETO  - WATER JET 2</v>
      </c>
      <c r="U201" s="18" t="str">
        <f>IFERROR(VLOOKUP(Tabela1[[#This Row],[Tag]],'Base de Dados'!V201:W253,2,0),"")</f>
        <v/>
      </c>
      <c r="V201" s="18">
        <f>DAY(Tabela1[[#This Row],[Data]])</f>
        <v>27</v>
      </c>
      <c r="W201" s="18">
        <f>MONTH(Tabela1[[#This Row],[Data]])</f>
        <v>11</v>
      </c>
      <c r="X201" s="18">
        <f>YEAR(Tabela1[[#This Row],[Data]])</f>
        <v>2022</v>
      </c>
    </row>
    <row r="202" spans="1:24" hidden="1" x14ac:dyDescent="0.25">
      <c r="A202" s="22">
        <v>13975</v>
      </c>
      <c r="B202" s="21">
        <v>44892</v>
      </c>
      <c r="C202" s="23">
        <v>73</v>
      </c>
      <c r="D202" s="24"/>
      <c r="E202" s="24"/>
      <c r="F202" s="24"/>
      <c r="G202" s="18" t="str">
        <f>IFERROR(VLOOKUP(Tabela1[[#This Row],[Mat. 1]],'Base de Dados'!$I$5:$J$21,2,0),"")</f>
        <v>VALDEMAR</v>
      </c>
      <c r="H202" s="18" t="str">
        <f>IFERROR(VLOOKUP(Tabela1[[#This Row],[Mat. 2]],'Base de Dados'!$I$5:$J$21,2,0),"")</f>
        <v/>
      </c>
      <c r="I202" s="18" t="str">
        <f>IFERROR(VLOOKUP(Tabela1[[#This Row],[Mat. 3]],'Base de Dados'!$I$5:$J$21,2,0),"")</f>
        <v/>
      </c>
      <c r="J202" s="18" t="str">
        <f>IFERROR(VLOOKUP(Tabela1[[#This Row],[Mat. 4]],'Base de Dados'!$I$5:$J$21,2,0),"")</f>
        <v/>
      </c>
      <c r="K202" s="18" t="str">
        <f>IFERROR(VLOOKUP(Tabela1[[#This Row],[Mat. 1]],'Base de Dados'!$I$2:$M$21,5,0),"")</f>
        <v>3º</v>
      </c>
      <c r="L202" s="18" t="s">
        <v>47</v>
      </c>
      <c r="M202" s="18" t="s">
        <v>316</v>
      </c>
      <c r="N202" s="18" t="s">
        <v>558</v>
      </c>
      <c r="O202" s="18">
        <v>25</v>
      </c>
      <c r="P202" s="18">
        <v>0</v>
      </c>
      <c r="Q202" s="45" t="s">
        <v>488</v>
      </c>
      <c r="R202" s="18" t="s">
        <v>116</v>
      </c>
      <c r="S202" s="18" t="str">
        <f>IFERROR(VLOOKUP(Tabela1[[#This Row],[Cód. Causa]],'Base de Dados'!$O$2:$P$21,2,0),"")</f>
        <v xml:space="preserve">EQUIPAMENTO TRABALHANDO COM CARGA EXCESSIVA </v>
      </c>
      <c r="T202" s="18" t="str">
        <f>IFERROR(VLOOKUP(Tabela1[[#This Row],[Tag]],'Base de Dados'!$B$2:$C$64,2,0),"")</f>
        <v>PRENSA MOLDAGEM INNER DASH</v>
      </c>
      <c r="U202" s="18" t="str">
        <f>IFERROR(VLOOKUP(Tabela1[[#This Row],[Tag]],'Base de Dados'!V202:W254,2,0),"")</f>
        <v/>
      </c>
      <c r="V202" s="18">
        <f>DAY(Tabela1[[#This Row],[Data]])</f>
        <v>27</v>
      </c>
      <c r="W202" s="18">
        <f>MONTH(Tabela1[[#This Row],[Data]])</f>
        <v>11</v>
      </c>
      <c r="X202" s="18">
        <f>YEAR(Tabela1[[#This Row],[Data]])</f>
        <v>2022</v>
      </c>
    </row>
    <row r="203" spans="1:24" hidden="1" x14ac:dyDescent="0.25">
      <c r="A203" s="22">
        <v>15006</v>
      </c>
      <c r="B203" s="21">
        <v>44892</v>
      </c>
      <c r="C203" s="23">
        <v>73</v>
      </c>
      <c r="D203" s="24"/>
      <c r="E203" s="24"/>
      <c r="F203" s="24"/>
      <c r="G203" s="18" t="str">
        <f>IFERROR(VLOOKUP(Tabela1[[#This Row],[Mat. 1]],'Base de Dados'!$I$5:$J$21,2,0),"")</f>
        <v>VALDEMAR</v>
      </c>
      <c r="H203" s="18" t="str">
        <f>IFERROR(VLOOKUP(Tabela1[[#This Row],[Mat. 2]],'Base de Dados'!$I$5:$J$21,2,0),"")</f>
        <v/>
      </c>
      <c r="I203" s="18" t="str">
        <f>IFERROR(VLOOKUP(Tabela1[[#This Row],[Mat. 3]],'Base de Dados'!$I$5:$J$21,2,0),"")</f>
        <v/>
      </c>
      <c r="J203" s="18" t="str">
        <f>IFERROR(VLOOKUP(Tabela1[[#This Row],[Mat. 4]],'Base de Dados'!$I$5:$J$21,2,0),"")</f>
        <v/>
      </c>
      <c r="K203" s="18" t="str">
        <f>IFERROR(VLOOKUP(Tabela1[[#This Row],[Mat. 1]],'Base de Dados'!$I$2:$M$21,5,0),"")</f>
        <v>3º</v>
      </c>
      <c r="L203" s="18" t="s">
        <v>185</v>
      </c>
      <c r="M203" s="18" t="s">
        <v>313</v>
      </c>
      <c r="N203" s="18" t="s">
        <v>558</v>
      </c>
      <c r="O203" s="18">
        <v>25</v>
      </c>
      <c r="P203" s="18">
        <v>0</v>
      </c>
      <c r="Q203" s="45" t="s">
        <v>489</v>
      </c>
      <c r="R203" s="18" t="s">
        <v>116</v>
      </c>
      <c r="S203" s="18" t="str">
        <f>IFERROR(VLOOKUP(Tabela1[[#This Row],[Cód. Causa]],'Base de Dados'!$O$2:$P$21,2,0),"")</f>
        <v xml:space="preserve">EQUIPAMENTO TRABALHANDO COM CARGA EXCESSIVA </v>
      </c>
      <c r="T203" s="18" t="str">
        <f>IFERROR(VLOOKUP(Tabela1[[#This Row],[Tag]],'Base de Dados'!$B$2:$C$64,2,0),"")</f>
        <v>CORTE DO CARPETE- WATER JET</v>
      </c>
      <c r="U203" s="18" t="str">
        <f>IFERROR(VLOOKUP(Tabela1[[#This Row],[Tag]],'Base de Dados'!V203:W255,2,0),"")</f>
        <v/>
      </c>
      <c r="V203" s="18">
        <f>DAY(Tabela1[[#This Row],[Data]])</f>
        <v>27</v>
      </c>
      <c r="W203" s="18">
        <f>MONTH(Tabela1[[#This Row],[Data]])</f>
        <v>11</v>
      </c>
      <c r="X203" s="18">
        <f>YEAR(Tabela1[[#This Row],[Data]])</f>
        <v>2022</v>
      </c>
    </row>
    <row r="204" spans="1:24" hidden="1" x14ac:dyDescent="0.25">
      <c r="A204" s="22">
        <v>15021</v>
      </c>
      <c r="B204" s="21">
        <v>44892</v>
      </c>
      <c r="C204" s="23">
        <v>73</v>
      </c>
      <c r="D204" s="24"/>
      <c r="E204" s="24"/>
      <c r="F204" s="24"/>
      <c r="G204" s="18" t="str">
        <f>IFERROR(VLOOKUP(Tabela1[[#This Row],[Mat. 1]],'Base de Dados'!$I$5:$J$21,2,0),"")</f>
        <v>VALDEMAR</v>
      </c>
      <c r="H204" s="18" t="str">
        <f>IFERROR(VLOOKUP(Tabela1[[#This Row],[Mat. 2]],'Base de Dados'!$I$5:$J$21,2,0),"")</f>
        <v/>
      </c>
      <c r="I204" s="18" t="str">
        <f>IFERROR(VLOOKUP(Tabela1[[#This Row],[Mat. 3]],'Base de Dados'!$I$5:$J$21,2,0),"")</f>
        <v/>
      </c>
      <c r="J204" s="18" t="str">
        <f>IFERROR(VLOOKUP(Tabela1[[#This Row],[Mat. 4]],'Base de Dados'!$I$5:$J$21,2,0),"")</f>
        <v/>
      </c>
      <c r="K204" s="18" t="str">
        <f>IFERROR(VLOOKUP(Tabela1[[#This Row],[Mat. 1]],'Base de Dados'!$I$2:$M$21,5,0),"")</f>
        <v>3º</v>
      </c>
      <c r="L204" s="18" t="s">
        <v>185</v>
      </c>
      <c r="M204" s="18" t="s">
        <v>316</v>
      </c>
      <c r="N204" s="18" t="s">
        <v>558</v>
      </c>
      <c r="O204" s="18">
        <v>15</v>
      </c>
      <c r="P204" s="18">
        <v>0</v>
      </c>
      <c r="Q204" s="45" t="s">
        <v>490</v>
      </c>
      <c r="R204" s="18" t="s">
        <v>116</v>
      </c>
      <c r="S204" s="18" t="str">
        <f>IFERROR(VLOOKUP(Tabela1[[#This Row],[Cód. Causa]],'Base de Dados'!$O$2:$P$21,2,0),"")</f>
        <v xml:space="preserve">EQUIPAMENTO TRABALHANDO COM CARGA EXCESSIVA </v>
      </c>
      <c r="T204" s="18" t="str">
        <f>IFERROR(VLOOKUP(Tabela1[[#This Row],[Tag]],'Base de Dados'!$B$2:$C$64,2,0),"")</f>
        <v>CORTE DO CARPETE- WATER JET</v>
      </c>
      <c r="U204" s="18" t="str">
        <f>IFERROR(VLOOKUP(Tabela1[[#This Row],[Tag]],'Base de Dados'!V204:W256,2,0),"")</f>
        <v/>
      </c>
      <c r="V204" s="18">
        <f>DAY(Tabela1[[#This Row],[Data]])</f>
        <v>27</v>
      </c>
      <c r="W204" s="18">
        <f>MONTH(Tabela1[[#This Row],[Data]])</f>
        <v>11</v>
      </c>
      <c r="X204" s="18">
        <f>YEAR(Tabela1[[#This Row],[Data]])</f>
        <v>2022</v>
      </c>
    </row>
    <row r="205" spans="1:24" hidden="1" x14ac:dyDescent="0.25">
      <c r="A205" s="22">
        <v>15022</v>
      </c>
      <c r="B205" s="21">
        <v>44892</v>
      </c>
      <c r="C205" s="23">
        <v>782</v>
      </c>
      <c r="D205" s="24"/>
      <c r="E205" s="24"/>
      <c r="F205" s="24"/>
      <c r="G205" s="18" t="str">
        <f>IFERROR(VLOOKUP(Tabela1[[#This Row],[Mat. 1]],'Base de Dados'!$I$5:$J$21,2,0),"")</f>
        <v>JOSÉ</v>
      </c>
      <c r="H205" s="18" t="str">
        <f>IFERROR(VLOOKUP(Tabela1[[#This Row],[Mat. 2]],'Base de Dados'!$I$5:$J$21,2,0),"")</f>
        <v/>
      </c>
      <c r="I205" s="18" t="str">
        <f>IFERROR(VLOOKUP(Tabela1[[#This Row],[Mat. 3]],'Base de Dados'!$I$5:$J$21,2,0),"")</f>
        <v/>
      </c>
      <c r="J205" s="18" t="str">
        <f>IFERROR(VLOOKUP(Tabela1[[#This Row],[Mat. 4]],'Base de Dados'!$I$5:$J$21,2,0),"")</f>
        <v/>
      </c>
      <c r="K205" s="18" t="str">
        <f>IFERROR(VLOOKUP(Tabela1[[#This Row],[Mat. 1]],'Base de Dados'!$I$2:$M$21,5,0),"")</f>
        <v>3º</v>
      </c>
      <c r="L205" s="18" t="s">
        <v>183</v>
      </c>
      <c r="M205" s="18" t="s">
        <v>313</v>
      </c>
      <c r="N205" s="18" t="s">
        <v>558</v>
      </c>
      <c r="O205" s="18">
        <v>25</v>
      </c>
      <c r="P205" s="18">
        <v>0</v>
      </c>
      <c r="Q205" s="45" t="s">
        <v>418</v>
      </c>
      <c r="R205" s="18" t="s">
        <v>34</v>
      </c>
      <c r="S205" s="18" t="str">
        <f>IFERROR(VLOOKUP(Tabela1[[#This Row],[Cód. Causa]],'Base de Dados'!$O$2:$P$21,2,0),"")</f>
        <v>FALHA EM COMPONENTES ELETRONICO</v>
      </c>
      <c r="T205" s="18" t="str">
        <f>IFERROR(VLOOKUP(Tabela1[[#This Row],[Tag]],'Base de Dados'!$B$2:$C$64,2,0),"")</f>
        <v>INJETORA CARPETE</v>
      </c>
      <c r="U205" s="18" t="str">
        <f>IFERROR(VLOOKUP(Tabela1[[#This Row],[Tag]],'Base de Dados'!V205:W257,2,0),"")</f>
        <v/>
      </c>
      <c r="V205" s="18">
        <f>DAY(Tabela1[[#This Row],[Data]])</f>
        <v>27</v>
      </c>
      <c r="W205" s="18">
        <f>MONTH(Tabela1[[#This Row],[Data]])</f>
        <v>11</v>
      </c>
      <c r="X205" s="18">
        <f>YEAR(Tabela1[[#This Row],[Data]])</f>
        <v>2022</v>
      </c>
    </row>
    <row r="206" spans="1:24" hidden="1" x14ac:dyDescent="0.25">
      <c r="A206" s="22">
        <v>11497</v>
      </c>
      <c r="B206" s="21">
        <v>44893</v>
      </c>
      <c r="C206" s="23">
        <v>739</v>
      </c>
      <c r="D206" s="24">
        <v>185</v>
      </c>
      <c r="E206" s="24">
        <v>15</v>
      </c>
      <c r="F206" s="24"/>
      <c r="G206" s="18" t="str">
        <f>IFERROR(VLOOKUP(Tabela1[[#This Row],[Mat. 1]],'Base de Dados'!$I$5:$J$21,2,0),"")</f>
        <v>DANILLO</v>
      </c>
      <c r="H206" s="18" t="str">
        <f>IFERROR(VLOOKUP(Tabela1[[#This Row],[Mat. 2]],'Base de Dados'!$I$5:$J$21,2,0),"")</f>
        <v>FELIPE</v>
      </c>
      <c r="I206" s="18" t="str">
        <f>IFERROR(VLOOKUP(Tabela1[[#This Row],[Mat. 3]],'Base de Dados'!$I$5:$J$21,2,0),"")</f>
        <v>ROBERT</v>
      </c>
      <c r="J206" s="18" t="str">
        <f>IFERROR(VLOOKUP(Tabela1[[#This Row],[Mat. 4]],'Base de Dados'!$I$5:$J$21,2,0),"")</f>
        <v/>
      </c>
      <c r="K206" s="18" t="str">
        <f>IFERROR(VLOOKUP(Tabela1[[#This Row],[Mat. 1]],'Base de Dados'!$I$2:$M$21,5,0),"")</f>
        <v>1º</v>
      </c>
      <c r="L206" s="18" t="s">
        <v>91</v>
      </c>
      <c r="M206" s="18" t="s">
        <v>313</v>
      </c>
      <c r="N206" s="18" t="s">
        <v>558</v>
      </c>
      <c r="O206" s="18">
        <v>60</v>
      </c>
      <c r="P206" s="18">
        <v>0</v>
      </c>
      <c r="Q206" s="45" t="s">
        <v>491</v>
      </c>
      <c r="R206" s="18" t="s">
        <v>116</v>
      </c>
      <c r="S206" s="18" t="str">
        <f>IFERROR(VLOOKUP(Tabela1[[#This Row],[Cód. Causa]],'Base de Dados'!$O$2:$P$21,2,0),"")</f>
        <v xml:space="preserve">EQUIPAMENTO TRABALHANDO COM CARGA EXCESSIVA </v>
      </c>
      <c r="T206" s="18" t="str">
        <f>IFERROR(VLOOKUP(Tabela1[[#This Row],[Tag]],'Base de Dados'!$B$2:$C$64,2,0),"")</f>
        <v>TERMOFORMAGEM GLASUTEC</v>
      </c>
      <c r="U206" s="18" t="str">
        <f>IFERROR(VLOOKUP(Tabela1[[#This Row],[Tag]],'Base de Dados'!V206:W258,2,0),"")</f>
        <v/>
      </c>
      <c r="V206" s="18">
        <f>DAY(Tabela1[[#This Row],[Data]])</f>
        <v>28</v>
      </c>
      <c r="W206" s="18">
        <f>MONTH(Tabela1[[#This Row],[Data]])</f>
        <v>11</v>
      </c>
      <c r="X206" s="18">
        <f>YEAR(Tabela1[[#This Row],[Data]])</f>
        <v>2022</v>
      </c>
    </row>
    <row r="207" spans="1:24" hidden="1" x14ac:dyDescent="0.25">
      <c r="A207" s="22">
        <v>12194</v>
      </c>
      <c r="B207" s="21">
        <v>44893</v>
      </c>
      <c r="C207" s="23">
        <v>631</v>
      </c>
      <c r="D207" s="24">
        <v>267</v>
      </c>
      <c r="E207" s="24"/>
      <c r="F207" s="24"/>
      <c r="G207" s="18" t="str">
        <f>IFERROR(VLOOKUP(Tabela1[[#This Row],[Mat. 1]],'Base de Dados'!$I$5:$J$21,2,0),"")</f>
        <v>JOSINALDO</v>
      </c>
      <c r="H207" s="18" t="str">
        <f>IFERROR(VLOOKUP(Tabela1[[#This Row],[Mat. 2]],'Base de Dados'!$I$5:$J$21,2,0),"")</f>
        <v/>
      </c>
      <c r="I207" s="18" t="str">
        <f>IFERROR(VLOOKUP(Tabela1[[#This Row],[Mat. 3]],'Base de Dados'!$I$5:$J$21,2,0),"")</f>
        <v/>
      </c>
      <c r="J207" s="18" t="str">
        <f>IFERROR(VLOOKUP(Tabela1[[#This Row],[Mat. 4]],'Base de Dados'!$I$5:$J$21,2,0),"")</f>
        <v/>
      </c>
      <c r="K207" s="18" t="str">
        <f>IFERROR(VLOOKUP(Tabela1[[#This Row],[Mat. 1]],'Base de Dados'!$I$2:$M$21,5,0),"")</f>
        <v>2º</v>
      </c>
      <c r="L207" s="18" t="s">
        <v>91</v>
      </c>
      <c r="M207" s="18" t="s">
        <v>313</v>
      </c>
      <c r="N207" s="18" t="s">
        <v>558</v>
      </c>
      <c r="O207" s="18">
        <v>2</v>
      </c>
      <c r="P207" s="18">
        <v>0</v>
      </c>
      <c r="Q207" s="45" t="s">
        <v>375</v>
      </c>
      <c r="R207" s="18" t="s">
        <v>34</v>
      </c>
      <c r="S207" s="18" t="str">
        <f>IFERROR(VLOOKUP(Tabela1[[#This Row],[Cód. Causa]],'Base de Dados'!$O$2:$P$21,2,0),"")</f>
        <v>FALHA EM COMPONENTES ELETRONICO</v>
      </c>
      <c r="T207" s="18" t="str">
        <f>IFERROR(VLOOKUP(Tabela1[[#This Row],[Tag]],'Base de Dados'!$B$2:$C$64,2,0),"")</f>
        <v>TERMOFORMAGEM GLASUTEC</v>
      </c>
      <c r="U207" s="18" t="str">
        <f>IFERROR(VLOOKUP(Tabela1[[#This Row],[Tag]],'Base de Dados'!V207:W259,2,0),"")</f>
        <v/>
      </c>
      <c r="V207" s="18">
        <f>DAY(Tabela1[[#This Row],[Data]])</f>
        <v>28</v>
      </c>
      <c r="W207" s="18">
        <f>MONTH(Tabela1[[#This Row],[Data]])</f>
        <v>11</v>
      </c>
      <c r="X207" s="18">
        <f>YEAR(Tabela1[[#This Row],[Data]])</f>
        <v>2022</v>
      </c>
    </row>
    <row r="208" spans="1:24" hidden="1" x14ac:dyDescent="0.25">
      <c r="A208" s="22">
        <v>12683</v>
      </c>
      <c r="B208" s="21">
        <v>44893</v>
      </c>
      <c r="C208" s="23">
        <v>15</v>
      </c>
      <c r="D208" s="24"/>
      <c r="E208" s="24"/>
      <c r="F208" s="24"/>
      <c r="G208" s="18" t="str">
        <f>IFERROR(VLOOKUP(Tabela1[[#This Row],[Mat. 1]],'Base de Dados'!$I$5:$J$21,2,0),"")</f>
        <v>ROBERT</v>
      </c>
      <c r="H208" s="18" t="str">
        <f>IFERROR(VLOOKUP(Tabela1[[#This Row],[Mat. 2]],'Base de Dados'!$I$5:$J$21,2,0),"")</f>
        <v/>
      </c>
      <c r="I208" s="18" t="str">
        <f>IFERROR(VLOOKUP(Tabela1[[#This Row],[Mat. 3]],'Base de Dados'!$I$5:$J$21,2,0),"")</f>
        <v/>
      </c>
      <c r="J208" s="18" t="str">
        <f>IFERROR(VLOOKUP(Tabela1[[#This Row],[Mat. 4]],'Base de Dados'!$I$5:$J$21,2,0),"")</f>
        <v/>
      </c>
      <c r="K208" s="18" t="str">
        <f>IFERROR(VLOOKUP(Tabela1[[#This Row],[Mat. 1]],'Base de Dados'!$I$2:$M$21,5,0),"")</f>
        <v>1º</v>
      </c>
      <c r="L208" s="18" t="s">
        <v>124</v>
      </c>
      <c r="M208" s="18" t="s">
        <v>316</v>
      </c>
      <c r="N208" s="18" t="s">
        <v>558</v>
      </c>
      <c r="O208" s="18">
        <v>20</v>
      </c>
      <c r="P208" s="18">
        <v>0</v>
      </c>
      <c r="Q208" s="45" t="s">
        <v>492</v>
      </c>
      <c r="R208" s="18" t="s">
        <v>116</v>
      </c>
      <c r="S208" s="18" t="str">
        <f>IFERROR(VLOOKUP(Tabela1[[#This Row],[Cód. Causa]],'Base de Dados'!$O$2:$P$21,2,0),"")</f>
        <v xml:space="preserve">EQUIPAMENTO TRABALHANDO COM CARGA EXCESSIVA </v>
      </c>
      <c r="T208" s="18" t="str">
        <f>IFERROR(VLOOKUP(Tabela1[[#This Row],[Tag]],'Base de Dados'!$B$2:$C$64,2,0),"")</f>
        <v>PRENSA ACOPL. TECIDO DO TETO 1</v>
      </c>
      <c r="U208" s="18" t="str">
        <f>IFERROR(VLOOKUP(Tabela1[[#This Row],[Tag]],'Base de Dados'!V208:W260,2,0),"")</f>
        <v/>
      </c>
      <c r="V208" s="18">
        <f>DAY(Tabela1[[#This Row],[Data]])</f>
        <v>28</v>
      </c>
      <c r="W208" s="18">
        <f>MONTH(Tabela1[[#This Row],[Data]])</f>
        <v>11</v>
      </c>
      <c r="X208" s="18">
        <f>YEAR(Tabela1[[#This Row],[Data]])</f>
        <v>2022</v>
      </c>
    </row>
    <row r="209" spans="1:24" hidden="1" x14ac:dyDescent="0.25">
      <c r="A209" s="22">
        <v>13021</v>
      </c>
      <c r="B209" s="21">
        <v>44893</v>
      </c>
      <c r="C209" s="23">
        <v>677</v>
      </c>
      <c r="D209" s="24"/>
      <c r="E209" s="24"/>
      <c r="F209" s="24"/>
      <c r="G209" s="18" t="str">
        <f>IFERROR(VLOOKUP(Tabela1[[#This Row],[Mat. 1]],'Base de Dados'!$I$5:$J$21,2,0),"")</f>
        <v>RAFAEL</v>
      </c>
      <c r="H209" s="18" t="str">
        <f>IFERROR(VLOOKUP(Tabela1[[#This Row],[Mat. 2]],'Base de Dados'!$I$5:$J$21,2,0),"")</f>
        <v/>
      </c>
      <c r="I209" s="18" t="str">
        <f>IFERROR(VLOOKUP(Tabela1[[#This Row],[Mat. 3]],'Base de Dados'!$I$5:$J$21,2,0),"")</f>
        <v/>
      </c>
      <c r="J209" s="18" t="str">
        <f>IFERROR(VLOOKUP(Tabela1[[#This Row],[Mat. 4]],'Base de Dados'!$I$5:$J$21,2,0),"")</f>
        <v/>
      </c>
      <c r="K209" s="18" t="str">
        <f>IFERROR(VLOOKUP(Tabela1[[#This Row],[Mat. 1]],'Base de Dados'!$I$2:$M$21,5,0),"")</f>
        <v>2º</v>
      </c>
      <c r="L209" s="18" t="s">
        <v>112</v>
      </c>
      <c r="M209" s="18" t="s">
        <v>316</v>
      </c>
      <c r="N209" s="18" t="s">
        <v>558</v>
      </c>
      <c r="O209" s="18">
        <v>24</v>
      </c>
      <c r="P209" s="18">
        <v>0</v>
      </c>
      <c r="Q209" s="45" t="s">
        <v>493</v>
      </c>
      <c r="R209" s="18" t="s">
        <v>116</v>
      </c>
      <c r="S209" s="18" t="str">
        <f>IFERROR(VLOOKUP(Tabela1[[#This Row],[Cód. Causa]],'Base de Dados'!$O$2:$P$21,2,0),"")</f>
        <v xml:space="preserve">EQUIPAMENTO TRABALHANDO COM CARGA EXCESSIVA </v>
      </c>
      <c r="T209" s="18" t="str">
        <f>IFERROR(VLOOKUP(Tabela1[[#This Row],[Tag]],'Base de Dados'!$B$2:$C$64,2,0),"")</f>
        <v>ROBÔ ABB APLIC. COLA DO TETO</v>
      </c>
      <c r="U209" s="18" t="str">
        <f>IFERROR(VLOOKUP(Tabela1[[#This Row],[Tag]],'Base de Dados'!V209:W261,2,0),"")</f>
        <v/>
      </c>
      <c r="V209" s="18">
        <f>DAY(Tabela1[[#This Row],[Data]])</f>
        <v>28</v>
      </c>
      <c r="W209" s="18">
        <f>MONTH(Tabela1[[#This Row],[Data]])</f>
        <v>11</v>
      </c>
      <c r="X209" s="18">
        <f>YEAR(Tabela1[[#This Row],[Data]])</f>
        <v>2022</v>
      </c>
    </row>
    <row r="210" spans="1:24" hidden="1" x14ac:dyDescent="0.25">
      <c r="A210" s="22">
        <v>13022</v>
      </c>
      <c r="B210" s="21">
        <v>44893</v>
      </c>
      <c r="C210" s="23">
        <v>540</v>
      </c>
      <c r="D210" s="24">
        <v>677</v>
      </c>
      <c r="E210" s="24"/>
      <c r="F210" s="24"/>
      <c r="G210" s="18" t="str">
        <f>IFERROR(VLOOKUP(Tabela1[[#This Row],[Mat. 1]],'Base de Dados'!$I$5:$J$21,2,0),"")</f>
        <v>ANDERSON</v>
      </c>
      <c r="H210" s="18" t="str">
        <f>IFERROR(VLOOKUP(Tabela1[[#This Row],[Mat. 2]],'Base de Dados'!$I$5:$J$21,2,0),"")</f>
        <v>RAFAEL</v>
      </c>
      <c r="I210" s="18" t="str">
        <f>IFERROR(VLOOKUP(Tabela1[[#This Row],[Mat. 3]],'Base de Dados'!$I$5:$J$21,2,0),"")</f>
        <v/>
      </c>
      <c r="J210" s="18" t="str">
        <f>IFERROR(VLOOKUP(Tabela1[[#This Row],[Mat. 4]],'Base de Dados'!$I$5:$J$21,2,0),"")</f>
        <v/>
      </c>
      <c r="K210" s="18" t="str">
        <f>IFERROR(VLOOKUP(Tabela1[[#This Row],[Mat. 1]],'Base de Dados'!$I$2:$M$21,5,0),"")</f>
        <v>2º</v>
      </c>
      <c r="L210" s="18" t="s">
        <v>124</v>
      </c>
      <c r="M210" s="18" t="s">
        <v>316</v>
      </c>
      <c r="N210" s="18" t="s">
        <v>558</v>
      </c>
      <c r="O210" s="18">
        <v>5</v>
      </c>
      <c r="P210" s="18">
        <v>0</v>
      </c>
      <c r="Q210" s="45" t="s">
        <v>494</v>
      </c>
      <c r="R210" s="18" t="s">
        <v>116</v>
      </c>
      <c r="S210" s="18" t="str">
        <f>IFERROR(VLOOKUP(Tabela1[[#This Row],[Cód. Causa]],'Base de Dados'!$O$2:$P$21,2,0),"")</f>
        <v xml:space="preserve">EQUIPAMENTO TRABALHANDO COM CARGA EXCESSIVA </v>
      </c>
      <c r="T210" s="18" t="str">
        <f>IFERROR(VLOOKUP(Tabela1[[#This Row],[Tag]],'Base de Dados'!$B$2:$C$64,2,0),"")</f>
        <v>PRENSA ACOPL. TECIDO DO TETO 1</v>
      </c>
      <c r="U210" s="18" t="str">
        <f>IFERROR(VLOOKUP(Tabela1[[#This Row],[Tag]],'Base de Dados'!V210:W262,2,0),"")</f>
        <v/>
      </c>
      <c r="V210" s="18">
        <f>DAY(Tabela1[[#This Row],[Data]])</f>
        <v>28</v>
      </c>
      <c r="W210" s="18">
        <f>MONTH(Tabela1[[#This Row],[Data]])</f>
        <v>11</v>
      </c>
      <c r="X210" s="18">
        <f>YEAR(Tabela1[[#This Row],[Data]])</f>
        <v>2022</v>
      </c>
    </row>
    <row r="211" spans="1:24" hidden="1" x14ac:dyDescent="0.25">
      <c r="A211" s="22">
        <v>13055</v>
      </c>
      <c r="B211" s="21">
        <v>44893</v>
      </c>
      <c r="C211" s="23">
        <v>782</v>
      </c>
      <c r="D211" s="24"/>
      <c r="E211" s="24"/>
      <c r="F211" s="24"/>
      <c r="G211" s="18" t="str">
        <f>IFERROR(VLOOKUP(Tabela1[[#This Row],[Mat. 1]],'Base de Dados'!$I$5:$J$21,2,0),"")</f>
        <v>JOSÉ</v>
      </c>
      <c r="H211" s="18" t="str">
        <f>IFERROR(VLOOKUP(Tabela1[[#This Row],[Mat. 2]],'Base de Dados'!$I$5:$J$21,2,0),"")</f>
        <v/>
      </c>
      <c r="I211" s="18" t="str">
        <f>IFERROR(VLOOKUP(Tabela1[[#This Row],[Mat. 3]],'Base de Dados'!$I$5:$J$21,2,0),"")</f>
        <v/>
      </c>
      <c r="J211" s="18" t="str">
        <f>IFERROR(VLOOKUP(Tabela1[[#This Row],[Mat. 4]],'Base de Dados'!$I$5:$J$21,2,0),"")</f>
        <v/>
      </c>
      <c r="K211" s="18" t="str">
        <f>IFERROR(VLOOKUP(Tabela1[[#This Row],[Mat. 1]],'Base de Dados'!$I$2:$M$21,5,0),"")</f>
        <v>3º</v>
      </c>
      <c r="L211" s="18" t="s">
        <v>495</v>
      </c>
      <c r="M211" s="18" t="s">
        <v>313</v>
      </c>
      <c r="N211" s="18" t="s">
        <v>558</v>
      </c>
      <c r="O211" s="18">
        <v>15</v>
      </c>
      <c r="P211" s="18">
        <v>0</v>
      </c>
      <c r="Q211" s="45" t="s">
        <v>496</v>
      </c>
      <c r="R211" s="18" t="s">
        <v>34</v>
      </c>
      <c r="S211" s="18" t="str">
        <f>IFERROR(VLOOKUP(Tabela1[[#This Row],[Cód. Causa]],'Base de Dados'!$O$2:$P$21,2,0),"")</f>
        <v>FALHA EM COMPONENTES ELETRONICO</v>
      </c>
      <c r="T211" s="18" t="str">
        <f>IFERROR(VLOOKUP(Tabela1[[#This Row],[Tag]],'Base de Dados'!$B$2:$C$64,2,0),"")</f>
        <v/>
      </c>
      <c r="U211" s="18" t="str">
        <f>IFERROR(VLOOKUP(Tabela1[[#This Row],[Tag]],'Base de Dados'!V211:W263,2,0),"")</f>
        <v/>
      </c>
      <c r="V211" s="18">
        <f>DAY(Tabela1[[#This Row],[Data]])</f>
        <v>28</v>
      </c>
      <c r="W211" s="18">
        <f>MONTH(Tabela1[[#This Row],[Data]])</f>
        <v>11</v>
      </c>
      <c r="X211" s="18">
        <f>YEAR(Tabela1[[#This Row],[Data]])</f>
        <v>2022</v>
      </c>
    </row>
    <row r="212" spans="1:24" hidden="1" x14ac:dyDescent="0.25">
      <c r="A212" s="22">
        <v>13127</v>
      </c>
      <c r="B212" s="21">
        <v>44893</v>
      </c>
      <c r="C212" s="23">
        <v>540</v>
      </c>
      <c r="D212" s="24"/>
      <c r="E212" s="24"/>
      <c r="F212" s="24"/>
      <c r="G212" s="18" t="str">
        <f>IFERROR(VLOOKUP(Tabela1[[#This Row],[Mat. 1]],'Base de Dados'!$I$5:$J$21,2,0),"")</f>
        <v>ANDERSON</v>
      </c>
      <c r="H212" s="18" t="str">
        <f>IFERROR(VLOOKUP(Tabela1[[#This Row],[Mat. 2]],'Base de Dados'!$I$5:$J$21,2,0),"")</f>
        <v/>
      </c>
      <c r="I212" s="18" t="str">
        <f>IFERROR(VLOOKUP(Tabela1[[#This Row],[Mat. 3]],'Base de Dados'!$I$5:$J$21,2,0),"")</f>
        <v/>
      </c>
      <c r="J212" s="18" t="str">
        <f>IFERROR(VLOOKUP(Tabela1[[#This Row],[Mat. 4]],'Base de Dados'!$I$5:$J$21,2,0),"")</f>
        <v/>
      </c>
      <c r="K212" s="18" t="str">
        <f>IFERROR(VLOOKUP(Tabela1[[#This Row],[Mat. 1]],'Base de Dados'!$I$2:$M$21,5,0),"")</f>
        <v>2º</v>
      </c>
      <c r="L212" s="18" t="s">
        <v>47</v>
      </c>
      <c r="M212" s="18" t="s">
        <v>316</v>
      </c>
      <c r="N212" s="18" t="s">
        <v>558</v>
      </c>
      <c r="O212" s="18">
        <v>35</v>
      </c>
      <c r="P212" s="18">
        <v>0</v>
      </c>
      <c r="Q212" s="45" t="s">
        <v>359</v>
      </c>
      <c r="R212" s="18" t="s">
        <v>116</v>
      </c>
      <c r="S212" s="18" t="str">
        <f>IFERROR(VLOOKUP(Tabela1[[#This Row],[Cód. Causa]],'Base de Dados'!$O$2:$P$21,2,0),"")</f>
        <v xml:space="preserve">EQUIPAMENTO TRABALHANDO COM CARGA EXCESSIVA </v>
      </c>
      <c r="T212" s="18" t="str">
        <f>IFERROR(VLOOKUP(Tabela1[[#This Row],[Tag]],'Base de Dados'!$B$2:$C$64,2,0),"")</f>
        <v>PRENSA MOLDAGEM INNER DASH</v>
      </c>
      <c r="U212" s="18" t="str">
        <f>IFERROR(VLOOKUP(Tabela1[[#This Row],[Tag]],'Base de Dados'!V212:W264,2,0),"")</f>
        <v/>
      </c>
      <c r="V212" s="18">
        <f>DAY(Tabela1[[#This Row],[Data]])</f>
        <v>28</v>
      </c>
      <c r="W212" s="18">
        <f>MONTH(Tabela1[[#This Row],[Data]])</f>
        <v>11</v>
      </c>
      <c r="X212" s="18">
        <f>YEAR(Tabela1[[#This Row],[Data]])</f>
        <v>2022</v>
      </c>
    </row>
    <row r="213" spans="1:24" hidden="1" x14ac:dyDescent="0.25">
      <c r="A213" s="22">
        <v>13129</v>
      </c>
      <c r="B213" s="21">
        <v>44893</v>
      </c>
      <c r="C213" s="23">
        <v>592</v>
      </c>
      <c r="D213" s="24"/>
      <c r="E213" s="24"/>
      <c r="F213" s="24"/>
      <c r="G213" s="18" t="str">
        <f>IFERROR(VLOOKUP(Tabela1[[#This Row],[Mat. 1]],'Base de Dados'!$I$5:$J$21,2,0),"")</f>
        <v>CRISTIANO</v>
      </c>
      <c r="H213" s="18" t="str">
        <f>IFERROR(VLOOKUP(Tabela1[[#This Row],[Mat. 2]],'Base de Dados'!$I$5:$J$21,2,0),"")</f>
        <v/>
      </c>
      <c r="I213" s="18" t="str">
        <f>IFERROR(VLOOKUP(Tabela1[[#This Row],[Mat. 3]],'Base de Dados'!$I$5:$J$21,2,0),"")</f>
        <v/>
      </c>
      <c r="J213" s="18" t="str">
        <f>IFERROR(VLOOKUP(Tabela1[[#This Row],[Mat. 4]],'Base de Dados'!$I$5:$J$21,2,0),"")</f>
        <v/>
      </c>
      <c r="K213" s="18" t="str">
        <f>IFERROR(VLOOKUP(Tabela1[[#This Row],[Mat. 1]],'Base de Dados'!$I$2:$M$21,5,0),"")</f>
        <v>1º</v>
      </c>
      <c r="L213" s="18" t="s">
        <v>497</v>
      </c>
      <c r="M213" s="18" t="s">
        <v>316</v>
      </c>
      <c r="N213" s="18" t="s">
        <v>558</v>
      </c>
      <c r="O213" s="18">
        <v>13</v>
      </c>
      <c r="P213" s="18">
        <v>0</v>
      </c>
      <c r="Q213" s="45" t="s">
        <v>498</v>
      </c>
      <c r="R213" s="18" t="s">
        <v>116</v>
      </c>
      <c r="S213" s="18" t="str">
        <f>IFERROR(VLOOKUP(Tabela1[[#This Row],[Cód. Causa]],'Base de Dados'!$O$2:$P$21,2,0),"")</f>
        <v xml:space="preserve">EQUIPAMENTO TRABALHANDO COM CARGA EXCESSIVA </v>
      </c>
      <c r="T213" s="18" t="str">
        <f>IFERROR(VLOOKUP(Tabela1[[#This Row],[Tag]],'Base de Dados'!$B$2:$C$64,2,0),"")</f>
        <v/>
      </c>
      <c r="U213" s="18" t="str">
        <f>IFERROR(VLOOKUP(Tabela1[[#This Row],[Tag]],'Base de Dados'!V213:W265,2,0),"")</f>
        <v/>
      </c>
      <c r="V213" s="18">
        <f>DAY(Tabela1[[#This Row],[Data]])</f>
        <v>28</v>
      </c>
      <c r="W213" s="18">
        <f>MONTH(Tabela1[[#This Row],[Data]])</f>
        <v>11</v>
      </c>
      <c r="X213" s="18">
        <f>YEAR(Tabela1[[#This Row],[Data]])</f>
        <v>2022</v>
      </c>
    </row>
    <row r="214" spans="1:24" hidden="1" x14ac:dyDescent="0.25">
      <c r="A214" s="22">
        <v>13130</v>
      </c>
      <c r="B214" s="21">
        <v>44893</v>
      </c>
      <c r="C214" s="23">
        <v>739</v>
      </c>
      <c r="D214" s="24"/>
      <c r="E214" s="24"/>
      <c r="F214" s="24"/>
      <c r="G214" s="18" t="str">
        <f>IFERROR(VLOOKUP(Tabela1[[#This Row],[Mat. 1]],'Base de Dados'!$I$5:$J$21,2,0),"")</f>
        <v>DANILLO</v>
      </c>
      <c r="H214" s="18" t="str">
        <f>IFERROR(VLOOKUP(Tabela1[[#This Row],[Mat. 2]],'Base de Dados'!$I$5:$J$21,2,0),"")</f>
        <v/>
      </c>
      <c r="I214" s="18" t="str">
        <f>IFERROR(VLOOKUP(Tabela1[[#This Row],[Mat. 3]],'Base de Dados'!$I$5:$J$21,2,0),"")</f>
        <v/>
      </c>
      <c r="J214" s="18" t="str">
        <f>IFERROR(VLOOKUP(Tabela1[[#This Row],[Mat. 4]],'Base de Dados'!$I$5:$J$21,2,0),"")</f>
        <v/>
      </c>
      <c r="K214" s="18" t="str">
        <f>IFERROR(VLOOKUP(Tabela1[[#This Row],[Mat. 1]],'Base de Dados'!$I$2:$M$21,5,0),"")</f>
        <v>1º</v>
      </c>
      <c r="L214" s="18" t="s">
        <v>118</v>
      </c>
      <c r="M214" s="18" t="s">
        <v>316</v>
      </c>
      <c r="N214" s="18" t="s">
        <v>558</v>
      </c>
      <c r="O214" s="18">
        <v>30</v>
      </c>
      <c r="P214" s="18">
        <v>0</v>
      </c>
      <c r="Q214" s="45" t="s">
        <v>499</v>
      </c>
      <c r="R214" s="18" t="s">
        <v>116</v>
      </c>
      <c r="S214" s="18" t="str">
        <f>IFERROR(VLOOKUP(Tabela1[[#This Row],[Cód. Causa]],'Base de Dados'!$O$2:$P$21,2,0),"")</f>
        <v xml:space="preserve">EQUIPAMENTO TRABALHANDO COM CARGA EXCESSIVA </v>
      </c>
      <c r="T214" s="18" t="str">
        <f>IFERROR(VLOOKUP(Tabela1[[#This Row],[Tag]],'Base de Dados'!$B$2:$C$64,2,0),"")</f>
        <v>FORNO DO TETO</v>
      </c>
      <c r="U214" s="18" t="str">
        <f>IFERROR(VLOOKUP(Tabela1[[#This Row],[Tag]],'Base de Dados'!V214:W266,2,0),"")</f>
        <v/>
      </c>
      <c r="V214" s="18">
        <f>DAY(Tabela1[[#This Row],[Data]])</f>
        <v>28</v>
      </c>
      <c r="W214" s="18">
        <f>MONTH(Tabela1[[#This Row],[Data]])</f>
        <v>11</v>
      </c>
      <c r="X214" s="18">
        <f>YEAR(Tabela1[[#This Row],[Data]])</f>
        <v>2022</v>
      </c>
    </row>
    <row r="215" spans="1:24" hidden="1" x14ac:dyDescent="0.25">
      <c r="A215" s="22">
        <v>13132</v>
      </c>
      <c r="B215" s="21">
        <v>44893</v>
      </c>
      <c r="C215" s="23">
        <v>677</v>
      </c>
      <c r="D215" s="24"/>
      <c r="E215" s="24"/>
      <c r="F215" s="24"/>
      <c r="G215" s="18" t="str">
        <f>IFERROR(VLOOKUP(Tabela1[[#This Row],[Mat. 1]],'Base de Dados'!$I$5:$J$21,2,0),"")</f>
        <v>RAFAEL</v>
      </c>
      <c r="H215" s="18" t="str">
        <f>IFERROR(VLOOKUP(Tabela1[[#This Row],[Mat. 2]],'Base de Dados'!$I$5:$J$21,2,0),"")</f>
        <v/>
      </c>
      <c r="I215" s="18" t="str">
        <f>IFERROR(VLOOKUP(Tabela1[[#This Row],[Mat. 3]],'Base de Dados'!$I$5:$J$21,2,0),"")</f>
        <v/>
      </c>
      <c r="J215" s="18" t="str">
        <f>IFERROR(VLOOKUP(Tabela1[[#This Row],[Mat. 4]],'Base de Dados'!$I$5:$J$21,2,0),"")</f>
        <v/>
      </c>
      <c r="K215" s="18" t="str">
        <f>IFERROR(VLOOKUP(Tabela1[[#This Row],[Mat. 1]],'Base de Dados'!$I$2:$M$21,5,0),"")</f>
        <v>2º</v>
      </c>
      <c r="L215" s="18" t="s">
        <v>405</v>
      </c>
      <c r="M215" s="18" t="s">
        <v>316</v>
      </c>
      <c r="N215" s="18" t="s">
        <v>558</v>
      </c>
      <c r="O215" s="18">
        <v>10</v>
      </c>
      <c r="P215" s="18">
        <v>0</v>
      </c>
      <c r="Q215" s="45" t="s">
        <v>320</v>
      </c>
      <c r="R215" s="18" t="s">
        <v>116</v>
      </c>
      <c r="S215" s="18" t="str">
        <f>IFERROR(VLOOKUP(Tabela1[[#This Row],[Cód. Causa]],'Base de Dados'!$O$2:$P$21,2,0),"")</f>
        <v xml:space="preserve">EQUIPAMENTO TRABALHANDO COM CARGA EXCESSIVA </v>
      </c>
      <c r="T215" s="18" t="str">
        <f>IFERROR(VLOOKUP(Tabela1[[#This Row],[Tag]],'Base de Dados'!$B$2:$C$64,2,0),"")</f>
        <v/>
      </c>
      <c r="U215" s="18" t="str">
        <f>IFERROR(VLOOKUP(Tabela1[[#This Row],[Tag]],'Base de Dados'!V215:W267,2,0),"")</f>
        <v/>
      </c>
      <c r="V215" s="18">
        <f>DAY(Tabela1[[#This Row],[Data]])</f>
        <v>28</v>
      </c>
      <c r="W215" s="18">
        <f>MONTH(Tabela1[[#This Row],[Data]])</f>
        <v>11</v>
      </c>
      <c r="X215" s="18">
        <f>YEAR(Tabela1[[#This Row],[Data]])</f>
        <v>2022</v>
      </c>
    </row>
    <row r="216" spans="1:24" hidden="1" x14ac:dyDescent="0.25">
      <c r="A216" s="22">
        <v>13182</v>
      </c>
      <c r="B216" s="21">
        <v>44893</v>
      </c>
      <c r="C216" s="23">
        <v>782</v>
      </c>
      <c r="D216" s="24"/>
      <c r="E216" s="24"/>
      <c r="F216" s="24"/>
      <c r="G216" s="18" t="str">
        <f>IFERROR(VLOOKUP(Tabela1[[#This Row],[Mat. 1]],'Base de Dados'!$I$5:$J$21,2,0),"")</f>
        <v>JOSÉ</v>
      </c>
      <c r="H216" s="18" t="str">
        <f>IFERROR(VLOOKUP(Tabela1[[#This Row],[Mat. 2]],'Base de Dados'!$I$5:$J$21,2,0),"")</f>
        <v/>
      </c>
      <c r="I216" s="18" t="str">
        <f>IFERROR(VLOOKUP(Tabela1[[#This Row],[Mat. 3]],'Base de Dados'!$I$5:$J$21,2,0),"")</f>
        <v/>
      </c>
      <c r="J216" s="18" t="str">
        <f>IFERROR(VLOOKUP(Tabela1[[#This Row],[Mat. 4]],'Base de Dados'!$I$5:$J$21,2,0),"")</f>
        <v/>
      </c>
      <c r="K216" s="18" t="str">
        <f>IFERROR(VLOOKUP(Tabela1[[#This Row],[Mat. 1]],'Base de Dados'!$I$2:$M$21,5,0),"")</f>
        <v>3º</v>
      </c>
      <c r="L216" s="18" t="s">
        <v>175</v>
      </c>
      <c r="M216" s="18" t="s">
        <v>313</v>
      </c>
      <c r="N216" s="18" t="s">
        <v>558</v>
      </c>
      <c r="O216" s="18">
        <v>4</v>
      </c>
      <c r="P216" s="18">
        <v>0</v>
      </c>
      <c r="Q216" s="45" t="s">
        <v>358</v>
      </c>
      <c r="R216" s="18" t="s">
        <v>34</v>
      </c>
      <c r="S216" s="18" t="str">
        <f>IFERROR(VLOOKUP(Tabela1[[#This Row],[Cód. Causa]],'Base de Dados'!$O$2:$P$21,2,0),"")</f>
        <v>FALHA EM COMPONENTES ELETRONICO</v>
      </c>
      <c r="T216" s="18" t="str">
        <f>IFERROR(VLOOKUP(Tabela1[[#This Row],[Tag]],'Base de Dados'!$B$2:$C$64,2,0),"")</f>
        <v>PRENSA SOLDA BATE PÉ</v>
      </c>
      <c r="U216" s="18" t="str">
        <f>IFERROR(VLOOKUP(Tabela1[[#This Row],[Tag]],'Base de Dados'!V216:W268,2,0),"")</f>
        <v/>
      </c>
      <c r="V216" s="18">
        <f>DAY(Tabela1[[#This Row],[Data]])</f>
        <v>28</v>
      </c>
      <c r="W216" s="18">
        <f>MONTH(Tabela1[[#This Row],[Data]])</f>
        <v>11</v>
      </c>
      <c r="X216" s="18">
        <f>YEAR(Tabela1[[#This Row],[Data]])</f>
        <v>2022</v>
      </c>
    </row>
    <row r="217" spans="1:24" hidden="1" x14ac:dyDescent="0.25">
      <c r="A217" s="22">
        <v>13183</v>
      </c>
      <c r="B217" s="21">
        <v>44893</v>
      </c>
      <c r="C217" s="23">
        <v>592</v>
      </c>
      <c r="D217" s="24">
        <v>739</v>
      </c>
      <c r="E217" s="24"/>
      <c r="F217" s="24"/>
      <c r="G217" s="18" t="str">
        <f>IFERROR(VLOOKUP(Tabela1[[#This Row],[Mat. 1]],'Base de Dados'!$I$5:$J$21,2,0),"")</f>
        <v>CRISTIANO</v>
      </c>
      <c r="H217" s="18" t="str">
        <f>IFERROR(VLOOKUP(Tabela1[[#This Row],[Mat. 2]],'Base de Dados'!$I$5:$J$21,2,0),"")</f>
        <v>DANILLO</v>
      </c>
      <c r="I217" s="18" t="str">
        <f>IFERROR(VLOOKUP(Tabela1[[#This Row],[Mat. 3]],'Base de Dados'!$I$5:$J$21,2,0),"")</f>
        <v/>
      </c>
      <c r="J217" s="18" t="str">
        <f>IFERROR(VLOOKUP(Tabela1[[#This Row],[Mat. 4]],'Base de Dados'!$I$5:$J$21,2,0),"")</f>
        <v/>
      </c>
      <c r="K217" s="18" t="str">
        <f>IFERROR(VLOOKUP(Tabela1[[#This Row],[Mat. 1]],'Base de Dados'!$I$2:$M$21,5,0),"")</f>
        <v>1º</v>
      </c>
      <c r="L217" s="18" t="s">
        <v>187</v>
      </c>
      <c r="M217" s="18" t="s">
        <v>316</v>
      </c>
      <c r="N217" s="18" t="s">
        <v>558</v>
      </c>
      <c r="O217" s="18">
        <v>25</v>
      </c>
      <c r="P217" s="18">
        <v>0</v>
      </c>
      <c r="Q217" s="45" t="s">
        <v>500</v>
      </c>
      <c r="R217" s="18" t="s">
        <v>116</v>
      </c>
      <c r="S217" s="18" t="str">
        <f>IFERROR(VLOOKUP(Tabela1[[#This Row],[Cód. Causa]],'Base de Dados'!$O$2:$P$21,2,0),"")</f>
        <v xml:space="preserve">EQUIPAMENTO TRABALHANDO COM CARGA EXCESSIVA </v>
      </c>
      <c r="T217" s="18" t="str">
        <f>IFERROR(VLOOKUP(Tabela1[[#This Row],[Tag]],'Base de Dados'!$B$2:$C$64,2,0),"")</f>
        <v>CORTE DO CARPETE- WATER JET</v>
      </c>
      <c r="U217" s="18" t="str">
        <f>IFERROR(VLOOKUP(Tabela1[[#This Row],[Tag]],'Base de Dados'!V217:W269,2,0),"")</f>
        <v/>
      </c>
      <c r="V217" s="18">
        <f>DAY(Tabela1[[#This Row],[Data]])</f>
        <v>28</v>
      </c>
      <c r="W217" s="18">
        <f>MONTH(Tabela1[[#This Row],[Data]])</f>
        <v>11</v>
      </c>
      <c r="X217" s="18">
        <f>YEAR(Tabela1[[#This Row],[Data]])</f>
        <v>2022</v>
      </c>
    </row>
    <row r="218" spans="1:24" hidden="1" x14ac:dyDescent="0.25">
      <c r="A218" s="22">
        <v>13976</v>
      </c>
      <c r="B218" s="21">
        <v>44893</v>
      </c>
      <c r="C218" s="23">
        <v>493</v>
      </c>
      <c r="D218" s="24">
        <v>592</v>
      </c>
      <c r="E218" s="24"/>
      <c r="F218" s="24"/>
      <c r="G218" s="18" t="str">
        <f>IFERROR(VLOOKUP(Tabela1[[#This Row],[Mat. 1]],'Base de Dados'!$I$5:$J$21,2,0),"")</f>
        <v>ELIAS</v>
      </c>
      <c r="H218" s="18" t="str">
        <f>IFERROR(VLOOKUP(Tabela1[[#This Row],[Mat. 2]],'Base de Dados'!$I$5:$J$21,2,0),"")</f>
        <v>CRISTIANO</v>
      </c>
      <c r="I218" s="18" t="str">
        <f>IFERROR(VLOOKUP(Tabela1[[#This Row],[Mat. 3]],'Base de Dados'!$I$5:$J$21,2,0),"")</f>
        <v/>
      </c>
      <c r="J218" s="18" t="str">
        <f>IFERROR(VLOOKUP(Tabela1[[#This Row],[Mat. 4]],'Base de Dados'!$I$5:$J$21,2,0),"")</f>
        <v/>
      </c>
      <c r="K218" s="18" t="str">
        <f>IFERROR(VLOOKUP(Tabela1[[#This Row],[Mat. 1]],'Base de Dados'!$I$2:$M$21,5,0),"")</f>
        <v>1º</v>
      </c>
      <c r="L218" s="18" t="s">
        <v>42</v>
      </c>
      <c r="M218" s="18" t="s">
        <v>316</v>
      </c>
      <c r="N218" s="18" t="s">
        <v>558</v>
      </c>
      <c r="O218" s="18">
        <v>37</v>
      </c>
      <c r="P218" s="18">
        <v>0</v>
      </c>
      <c r="Q218" s="45" t="s">
        <v>501</v>
      </c>
      <c r="R218" s="18" t="s">
        <v>116</v>
      </c>
      <c r="S218" s="18" t="str">
        <f>IFERROR(VLOOKUP(Tabela1[[#This Row],[Cód. Causa]],'Base de Dados'!$O$2:$P$21,2,0),"")</f>
        <v xml:space="preserve">EQUIPAMENTO TRABALHANDO COM CARGA EXCESSIVA </v>
      </c>
      <c r="T218" s="18" t="str">
        <f>IFERROR(VLOOKUP(Tabela1[[#This Row],[Tag]],'Base de Dados'!$B$2:$C$64,2,0),"")</f>
        <v>INJETORA</v>
      </c>
      <c r="U218" s="18" t="str">
        <f>IFERROR(VLOOKUP(Tabela1[[#This Row],[Tag]],'Base de Dados'!V218:W270,2,0),"")</f>
        <v/>
      </c>
      <c r="V218" s="18">
        <f>DAY(Tabela1[[#This Row],[Data]])</f>
        <v>28</v>
      </c>
      <c r="W218" s="18">
        <f>MONTH(Tabela1[[#This Row],[Data]])</f>
        <v>11</v>
      </c>
      <c r="X218" s="18">
        <f>YEAR(Tabela1[[#This Row],[Data]])</f>
        <v>2022</v>
      </c>
    </row>
    <row r="219" spans="1:24" hidden="1" x14ac:dyDescent="0.25">
      <c r="A219" s="22">
        <v>15020</v>
      </c>
      <c r="B219" s="21">
        <v>44893</v>
      </c>
      <c r="C219" s="23">
        <v>592</v>
      </c>
      <c r="D219" s="24">
        <v>739</v>
      </c>
      <c r="E219" s="24"/>
      <c r="F219" s="24"/>
      <c r="G219" s="18" t="str">
        <f>IFERROR(VLOOKUP(Tabela1[[#This Row],[Mat. 1]],'Base de Dados'!$I$5:$J$21,2,0),"")</f>
        <v>CRISTIANO</v>
      </c>
      <c r="H219" s="18" t="str">
        <f>IFERROR(VLOOKUP(Tabela1[[#This Row],[Mat. 2]],'Base de Dados'!$I$5:$J$21,2,0),"")</f>
        <v>DANILLO</v>
      </c>
      <c r="I219" s="18" t="str">
        <f>IFERROR(VLOOKUP(Tabela1[[#This Row],[Mat. 3]],'Base de Dados'!$I$5:$J$21,2,0),"")</f>
        <v/>
      </c>
      <c r="J219" s="18" t="str">
        <f>IFERROR(VLOOKUP(Tabela1[[#This Row],[Mat. 4]],'Base de Dados'!$I$5:$J$21,2,0),"")</f>
        <v/>
      </c>
      <c r="K219" s="18" t="str">
        <f>IFERROR(VLOOKUP(Tabela1[[#This Row],[Mat. 1]],'Base de Dados'!$I$2:$M$21,5,0),"")</f>
        <v>1º</v>
      </c>
      <c r="L219" s="18" t="s">
        <v>185</v>
      </c>
      <c r="M219" s="18" t="s">
        <v>316</v>
      </c>
      <c r="N219" s="18" t="s">
        <v>558</v>
      </c>
      <c r="O219" s="18">
        <v>30</v>
      </c>
      <c r="P219" s="18">
        <v>0</v>
      </c>
      <c r="Q219" s="45" t="s">
        <v>502</v>
      </c>
      <c r="R219" s="18" t="s">
        <v>116</v>
      </c>
      <c r="S219" s="18" t="str">
        <f>IFERROR(VLOOKUP(Tabela1[[#This Row],[Cód. Causa]],'Base de Dados'!$O$2:$P$21,2,0),"")</f>
        <v xml:space="preserve">EQUIPAMENTO TRABALHANDO COM CARGA EXCESSIVA </v>
      </c>
      <c r="T219" s="18" t="str">
        <f>IFERROR(VLOOKUP(Tabela1[[#This Row],[Tag]],'Base de Dados'!$B$2:$C$64,2,0),"")</f>
        <v>CORTE DO CARPETE- WATER JET</v>
      </c>
      <c r="U219" s="18" t="str">
        <f>IFERROR(VLOOKUP(Tabela1[[#This Row],[Tag]],'Base de Dados'!V219:W271,2,0),"")</f>
        <v/>
      </c>
      <c r="V219" s="18">
        <f>DAY(Tabela1[[#This Row],[Data]])</f>
        <v>28</v>
      </c>
      <c r="W219" s="18">
        <f>MONTH(Tabela1[[#This Row],[Data]])</f>
        <v>11</v>
      </c>
      <c r="X219" s="18">
        <f>YEAR(Tabela1[[#This Row],[Data]])</f>
        <v>2022</v>
      </c>
    </row>
    <row r="220" spans="1:24" hidden="1" x14ac:dyDescent="0.25">
      <c r="A220" s="22">
        <v>12664</v>
      </c>
      <c r="B220" s="21">
        <v>44894</v>
      </c>
      <c r="C220" s="23">
        <v>877</v>
      </c>
      <c r="D220" s="24"/>
      <c r="E220" s="24"/>
      <c r="F220" s="24"/>
      <c r="G220" s="18" t="str">
        <f>IFERROR(VLOOKUP(Tabela1[[#This Row],[Mat. 1]],'Base de Dados'!$I$5:$J$21,2,0),"")</f>
        <v>RONALDO</v>
      </c>
      <c r="H220" s="18" t="str">
        <f>IFERROR(VLOOKUP(Tabela1[[#This Row],[Mat. 2]],'Base de Dados'!$I$5:$J$21,2,0),"")</f>
        <v/>
      </c>
      <c r="I220" s="18" t="str">
        <f>IFERROR(VLOOKUP(Tabela1[[#This Row],[Mat. 3]],'Base de Dados'!$I$5:$J$21,2,0),"")</f>
        <v/>
      </c>
      <c r="J220" s="18" t="str">
        <f>IFERROR(VLOOKUP(Tabela1[[#This Row],[Mat. 4]],'Base de Dados'!$I$5:$J$21,2,0),"")</f>
        <v/>
      </c>
      <c r="K220" s="18" t="str">
        <f>IFERROR(VLOOKUP(Tabela1[[#This Row],[Mat. 1]],'Base de Dados'!$I$2:$M$21,5,0),"")</f>
        <v>3º</v>
      </c>
      <c r="L220" s="18" t="s">
        <v>130</v>
      </c>
      <c r="M220" s="18" t="s">
        <v>313</v>
      </c>
      <c r="N220" s="18" t="s">
        <v>558</v>
      </c>
      <c r="O220" s="18">
        <v>8</v>
      </c>
      <c r="P220" s="18">
        <v>0</v>
      </c>
      <c r="Q220" s="45" t="s">
        <v>332</v>
      </c>
      <c r="R220" s="18" t="s">
        <v>34</v>
      </c>
      <c r="S220" s="18" t="str">
        <f>IFERROR(VLOOKUP(Tabela1[[#This Row],[Cód. Causa]],'Base de Dados'!$O$2:$P$21,2,0),"")</f>
        <v>FALHA EM COMPONENTES ELETRONICO</v>
      </c>
      <c r="T220" s="18" t="str">
        <f>IFERROR(VLOOKUP(Tabela1[[#This Row],[Tag]],'Base de Dados'!$B$2:$C$64,2,0),"")</f>
        <v>PRENSA ACOPL. TECIDO DO TETO 2</v>
      </c>
      <c r="U220" s="18" t="str">
        <f>IFERROR(VLOOKUP(Tabela1[[#This Row],[Tag]],'Base de Dados'!V220:W272,2,0),"")</f>
        <v/>
      </c>
      <c r="V220" s="18">
        <f>DAY(Tabela1[[#This Row],[Data]])</f>
        <v>29</v>
      </c>
      <c r="W220" s="18">
        <f>MONTH(Tabela1[[#This Row],[Data]])</f>
        <v>11</v>
      </c>
      <c r="X220" s="18">
        <f>YEAR(Tabela1[[#This Row],[Data]])</f>
        <v>2022</v>
      </c>
    </row>
    <row r="221" spans="1:24" hidden="1" x14ac:dyDescent="0.25">
      <c r="A221" s="22">
        <v>12700</v>
      </c>
      <c r="B221" s="21">
        <v>44894</v>
      </c>
      <c r="C221" s="23">
        <v>592</v>
      </c>
      <c r="D221" s="24"/>
      <c r="E221" s="24"/>
      <c r="F221" s="24"/>
      <c r="G221" s="18" t="str">
        <f>IFERROR(VLOOKUP(Tabela1[[#This Row],[Mat. 1]],'Base de Dados'!$I$5:$J$21,2,0),"")</f>
        <v>CRISTIANO</v>
      </c>
      <c r="H221" s="18" t="str">
        <f>IFERROR(VLOOKUP(Tabela1[[#This Row],[Mat. 2]],'Base de Dados'!$I$5:$J$21,2,0),"")</f>
        <v/>
      </c>
      <c r="I221" s="18" t="str">
        <f>IFERROR(VLOOKUP(Tabela1[[#This Row],[Mat. 3]],'Base de Dados'!$I$5:$J$21,2,0),"")</f>
        <v/>
      </c>
      <c r="J221" s="18" t="str">
        <f>IFERROR(VLOOKUP(Tabela1[[#This Row],[Mat. 4]],'Base de Dados'!$I$5:$J$21,2,0),"")</f>
        <v/>
      </c>
      <c r="K221" s="18" t="str">
        <f>IFERROR(VLOOKUP(Tabela1[[#This Row],[Mat. 1]],'Base de Dados'!$I$2:$M$21,5,0),"")</f>
        <v>1º</v>
      </c>
      <c r="L221" s="18" t="s">
        <v>124</v>
      </c>
      <c r="M221" s="18" t="s">
        <v>316</v>
      </c>
      <c r="N221" s="18" t="s">
        <v>558</v>
      </c>
      <c r="O221" s="18">
        <v>25</v>
      </c>
      <c r="P221" s="18">
        <v>0</v>
      </c>
      <c r="Q221" s="45" t="s">
        <v>324</v>
      </c>
      <c r="R221" s="18" t="s">
        <v>116</v>
      </c>
      <c r="S221" s="18" t="str">
        <f>IFERROR(VLOOKUP(Tabela1[[#This Row],[Cód. Causa]],'Base de Dados'!$O$2:$P$21,2,0),"")</f>
        <v xml:space="preserve">EQUIPAMENTO TRABALHANDO COM CARGA EXCESSIVA </v>
      </c>
      <c r="T221" s="18" t="str">
        <f>IFERROR(VLOOKUP(Tabela1[[#This Row],[Tag]],'Base de Dados'!$B$2:$C$64,2,0),"")</f>
        <v>PRENSA ACOPL. TECIDO DO TETO 1</v>
      </c>
      <c r="U221" s="18" t="str">
        <f>IFERROR(VLOOKUP(Tabela1[[#This Row],[Tag]],'Base de Dados'!V221:W273,2,0),"")</f>
        <v/>
      </c>
      <c r="V221" s="18">
        <f>DAY(Tabela1[[#This Row],[Data]])</f>
        <v>29</v>
      </c>
      <c r="W221" s="18">
        <f>MONTH(Tabela1[[#This Row],[Data]])</f>
        <v>11</v>
      </c>
      <c r="X221" s="18">
        <f>YEAR(Tabela1[[#This Row],[Data]])</f>
        <v>2022</v>
      </c>
    </row>
    <row r="222" spans="1:24" hidden="1" x14ac:dyDescent="0.25">
      <c r="A222" s="22">
        <v>12921</v>
      </c>
      <c r="B222" s="21">
        <v>44894</v>
      </c>
      <c r="C222" s="23">
        <v>435</v>
      </c>
      <c r="D222" s="24"/>
      <c r="E222" s="24"/>
      <c r="F222" s="24"/>
      <c r="G222" s="18" t="str">
        <f>IFERROR(VLOOKUP(Tabela1[[#This Row],[Mat. 1]],'Base de Dados'!$I$5:$J$21,2,0),"")</f>
        <v>SILVIO</v>
      </c>
      <c r="H222" s="18" t="str">
        <f>IFERROR(VLOOKUP(Tabela1[[#This Row],[Mat. 2]],'Base de Dados'!$I$5:$J$21,2,0),"")</f>
        <v/>
      </c>
      <c r="I222" s="18" t="str">
        <f>IFERROR(VLOOKUP(Tabela1[[#This Row],[Mat. 3]],'Base de Dados'!$I$5:$J$21,2,0),"")</f>
        <v/>
      </c>
      <c r="J222" s="18" t="str">
        <f>IFERROR(VLOOKUP(Tabela1[[#This Row],[Mat. 4]],'Base de Dados'!$I$5:$J$21,2,0),"")</f>
        <v/>
      </c>
      <c r="K222" s="18" t="str">
        <f>IFERROR(VLOOKUP(Tabela1[[#This Row],[Mat. 1]],'Base de Dados'!$I$2:$M$21,5,0),"")</f>
        <v>1º</v>
      </c>
      <c r="L222" s="18" t="s">
        <v>495</v>
      </c>
      <c r="M222" s="18" t="s">
        <v>316</v>
      </c>
      <c r="N222" s="18" t="s">
        <v>558</v>
      </c>
      <c r="O222" s="18">
        <v>90</v>
      </c>
      <c r="P222" s="18">
        <v>0</v>
      </c>
      <c r="Q222" s="45" t="s">
        <v>503</v>
      </c>
      <c r="R222" s="18" t="s">
        <v>116</v>
      </c>
      <c r="S222" s="18" t="str">
        <f>IFERROR(VLOOKUP(Tabela1[[#This Row],[Cód. Causa]],'Base de Dados'!$O$2:$P$21,2,0),"")</f>
        <v xml:space="preserve">EQUIPAMENTO TRABALHANDO COM CARGA EXCESSIVA </v>
      </c>
      <c r="T222" s="18" t="str">
        <f>IFERROR(VLOOKUP(Tabela1[[#This Row],[Tag]],'Base de Dados'!$B$2:$C$64,2,0),"")</f>
        <v/>
      </c>
      <c r="U222" s="18" t="str">
        <f>IFERROR(VLOOKUP(Tabela1[[#This Row],[Tag]],'Base de Dados'!V222:W274,2,0),"")</f>
        <v/>
      </c>
      <c r="V222" s="18">
        <f>DAY(Tabela1[[#This Row],[Data]])</f>
        <v>29</v>
      </c>
      <c r="W222" s="18">
        <f>MONTH(Tabela1[[#This Row],[Data]])</f>
        <v>11</v>
      </c>
      <c r="X222" s="18">
        <f>YEAR(Tabela1[[#This Row],[Data]])</f>
        <v>2022</v>
      </c>
    </row>
    <row r="223" spans="1:24" hidden="1" x14ac:dyDescent="0.25">
      <c r="A223" s="22">
        <v>13112</v>
      </c>
      <c r="B223" s="21">
        <v>44894</v>
      </c>
      <c r="C223" s="23">
        <v>248</v>
      </c>
      <c r="D223" s="24">
        <v>267</v>
      </c>
      <c r="E223" s="24">
        <v>877</v>
      </c>
      <c r="F223" s="24"/>
      <c r="G223" s="18" t="str">
        <f>IFERROR(VLOOKUP(Tabela1[[#This Row],[Mat. 1]],'Base de Dados'!$I$5:$J$21,2,0),"")</f>
        <v>RUIGUENS</v>
      </c>
      <c r="H223" s="18" t="str">
        <f>IFERROR(VLOOKUP(Tabela1[[#This Row],[Mat. 2]],'Base de Dados'!$I$5:$J$21,2,0),"")</f>
        <v/>
      </c>
      <c r="I223" s="18" t="str">
        <f>IFERROR(VLOOKUP(Tabela1[[#This Row],[Mat. 3]],'Base de Dados'!$I$5:$J$21,2,0),"")</f>
        <v>RONALDO</v>
      </c>
      <c r="J223" s="18" t="str">
        <f>IFERROR(VLOOKUP(Tabela1[[#This Row],[Mat. 4]],'Base de Dados'!$I$5:$J$21,2,0),"")</f>
        <v/>
      </c>
      <c r="K223" s="18" t="str">
        <f>IFERROR(VLOOKUP(Tabela1[[#This Row],[Mat. 1]],'Base de Dados'!$I$2:$M$21,5,0),"")</f>
        <v>2º</v>
      </c>
      <c r="L223" s="18" t="s">
        <v>145</v>
      </c>
      <c r="M223" s="18" t="s">
        <v>313</v>
      </c>
      <c r="N223" s="18" t="s">
        <v>558</v>
      </c>
      <c r="O223" s="18">
        <v>5</v>
      </c>
      <c r="P223" s="18">
        <v>0</v>
      </c>
      <c r="Q223" s="45" t="s">
        <v>418</v>
      </c>
      <c r="R223" s="18" t="s">
        <v>34</v>
      </c>
      <c r="S223" s="18" t="str">
        <f>IFERROR(VLOOKUP(Tabela1[[#This Row],[Cód. Causa]],'Base de Dados'!$O$2:$P$21,2,0),"")</f>
        <v>FALHA EM COMPONENTES ELETRONICO</v>
      </c>
      <c r="T223" s="18" t="str">
        <f>IFERROR(VLOOKUP(Tabela1[[#This Row],[Tag]],'Base de Dados'!$B$2:$C$64,2,0),"")</f>
        <v>VIROLA DO TETO 521</v>
      </c>
      <c r="U223" s="18" t="str">
        <f>IFERROR(VLOOKUP(Tabela1[[#This Row],[Tag]],'Base de Dados'!V223:W275,2,0),"")</f>
        <v/>
      </c>
      <c r="V223" s="18">
        <f>DAY(Tabela1[[#This Row],[Data]])</f>
        <v>29</v>
      </c>
      <c r="W223" s="18">
        <f>MONTH(Tabela1[[#This Row],[Data]])</f>
        <v>11</v>
      </c>
      <c r="X223" s="18">
        <f>YEAR(Tabela1[[#This Row],[Data]])</f>
        <v>2022</v>
      </c>
    </row>
    <row r="224" spans="1:24" hidden="1" x14ac:dyDescent="0.25">
      <c r="A224" s="22">
        <v>13133</v>
      </c>
      <c r="B224" s="21">
        <v>44894</v>
      </c>
      <c r="C224" s="23">
        <v>592</v>
      </c>
      <c r="D224" s="24"/>
      <c r="E224" s="24"/>
      <c r="F224" s="24"/>
      <c r="G224" s="18" t="str">
        <f>IFERROR(VLOOKUP(Tabela1[[#This Row],[Mat. 1]],'Base de Dados'!$I$5:$J$21,2,0),"")</f>
        <v>CRISTIANO</v>
      </c>
      <c r="H224" s="18" t="str">
        <f>IFERROR(VLOOKUP(Tabela1[[#This Row],[Mat. 2]],'Base de Dados'!$I$5:$J$21,2,0),"")</f>
        <v/>
      </c>
      <c r="I224" s="18" t="str">
        <f>IFERROR(VLOOKUP(Tabela1[[#This Row],[Mat. 3]],'Base de Dados'!$I$5:$J$21,2,0),"")</f>
        <v/>
      </c>
      <c r="J224" s="18" t="str">
        <f>IFERROR(VLOOKUP(Tabela1[[#This Row],[Mat. 4]],'Base de Dados'!$I$5:$J$21,2,0),"")</f>
        <v/>
      </c>
      <c r="K224" s="18" t="str">
        <f>IFERROR(VLOOKUP(Tabela1[[#This Row],[Mat. 1]],'Base de Dados'!$I$2:$M$21,5,0),"")</f>
        <v>1º</v>
      </c>
      <c r="L224" s="18" t="s">
        <v>145</v>
      </c>
      <c r="M224" s="18" t="s">
        <v>316</v>
      </c>
      <c r="N224" s="18" t="s">
        <v>558</v>
      </c>
      <c r="O224" s="18">
        <v>23</v>
      </c>
      <c r="P224" s="18">
        <v>0</v>
      </c>
      <c r="Q224" s="45" t="s">
        <v>473</v>
      </c>
      <c r="R224" s="18" t="s">
        <v>116</v>
      </c>
      <c r="S224" s="18" t="str">
        <f>IFERROR(VLOOKUP(Tabela1[[#This Row],[Cód. Causa]],'Base de Dados'!$O$2:$P$21,2,0),"")</f>
        <v xml:space="preserve">EQUIPAMENTO TRABALHANDO COM CARGA EXCESSIVA </v>
      </c>
      <c r="T224" s="18" t="str">
        <f>IFERROR(VLOOKUP(Tabela1[[#This Row],[Tag]],'Base de Dados'!$B$2:$C$64,2,0),"")</f>
        <v>VIROLA DO TETO 521</v>
      </c>
      <c r="U224" s="18" t="str">
        <f>IFERROR(VLOOKUP(Tabela1[[#This Row],[Tag]],'Base de Dados'!V224:W276,2,0),"")</f>
        <v/>
      </c>
      <c r="V224" s="18">
        <f>DAY(Tabela1[[#This Row],[Data]])</f>
        <v>29</v>
      </c>
      <c r="W224" s="18">
        <f>MONTH(Tabela1[[#This Row],[Data]])</f>
        <v>11</v>
      </c>
      <c r="X224" s="18">
        <f>YEAR(Tabela1[[#This Row],[Data]])</f>
        <v>2022</v>
      </c>
    </row>
    <row r="225" spans="1:24" hidden="1" x14ac:dyDescent="0.25">
      <c r="A225" s="22">
        <v>13134</v>
      </c>
      <c r="B225" s="21">
        <v>44894</v>
      </c>
      <c r="C225" s="23">
        <v>15</v>
      </c>
      <c r="D225" s="24"/>
      <c r="E225" s="24"/>
      <c r="F225" s="24"/>
      <c r="G225" s="18" t="str">
        <f>IFERROR(VLOOKUP(Tabela1[[#This Row],[Mat. 1]],'Base de Dados'!$I$5:$J$21,2,0),"")</f>
        <v>ROBERT</v>
      </c>
      <c r="H225" s="18" t="str">
        <f>IFERROR(VLOOKUP(Tabela1[[#This Row],[Mat. 2]],'Base de Dados'!$I$5:$J$21,2,0),"")</f>
        <v/>
      </c>
      <c r="I225" s="18" t="str">
        <f>IFERROR(VLOOKUP(Tabela1[[#This Row],[Mat. 3]],'Base de Dados'!$I$5:$J$21,2,0),"")</f>
        <v/>
      </c>
      <c r="J225" s="18" t="str">
        <f>IFERROR(VLOOKUP(Tabela1[[#This Row],[Mat. 4]],'Base de Dados'!$I$5:$J$21,2,0),"")</f>
        <v/>
      </c>
      <c r="K225" s="18" t="str">
        <f>IFERROR(VLOOKUP(Tabela1[[#This Row],[Mat. 1]],'Base de Dados'!$I$2:$M$21,5,0),"")</f>
        <v>1º</v>
      </c>
      <c r="L225" s="18" t="s">
        <v>405</v>
      </c>
      <c r="M225" s="18" t="s">
        <v>316</v>
      </c>
      <c r="N225" s="18" t="s">
        <v>558</v>
      </c>
      <c r="O225" s="18">
        <v>12</v>
      </c>
      <c r="P225" s="18">
        <v>0</v>
      </c>
      <c r="Q225" s="45" t="s">
        <v>354</v>
      </c>
      <c r="R225" s="18" t="s">
        <v>116</v>
      </c>
      <c r="S225" s="18" t="str">
        <f>IFERROR(VLOOKUP(Tabela1[[#This Row],[Cód. Causa]],'Base de Dados'!$O$2:$P$21,2,0),"")</f>
        <v xml:space="preserve">EQUIPAMENTO TRABALHANDO COM CARGA EXCESSIVA </v>
      </c>
      <c r="T225" s="18" t="str">
        <f>IFERROR(VLOOKUP(Tabela1[[#This Row],[Tag]],'Base de Dados'!$B$2:$C$64,2,0),"")</f>
        <v/>
      </c>
      <c r="U225" s="18" t="str">
        <f>IFERROR(VLOOKUP(Tabela1[[#This Row],[Tag]],'Base de Dados'!V225:W277,2,0),"")</f>
        <v/>
      </c>
      <c r="V225" s="18">
        <f>DAY(Tabela1[[#This Row],[Data]])</f>
        <v>29</v>
      </c>
      <c r="W225" s="18">
        <f>MONTH(Tabela1[[#This Row],[Data]])</f>
        <v>11</v>
      </c>
      <c r="X225" s="18">
        <f>YEAR(Tabela1[[#This Row],[Data]])</f>
        <v>2022</v>
      </c>
    </row>
    <row r="226" spans="1:24" hidden="1" x14ac:dyDescent="0.25">
      <c r="A226" s="22">
        <v>13184</v>
      </c>
      <c r="B226" s="21">
        <v>44894</v>
      </c>
      <c r="C226" s="23">
        <v>721</v>
      </c>
      <c r="D226" s="24"/>
      <c r="E226" s="24"/>
      <c r="F226" s="24"/>
      <c r="G226" s="18" t="str">
        <f>IFERROR(VLOOKUP(Tabela1[[#This Row],[Mat. 1]],'Base de Dados'!$I$5:$J$21,2,0),"")</f>
        <v>GENILSON</v>
      </c>
      <c r="H226" s="18" t="str">
        <f>IFERROR(VLOOKUP(Tabela1[[#This Row],[Mat. 2]],'Base de Dados'!$I$5:$J$21,2,0),"")</f>
        <v/>
      </c>
      <c r="I226" s="18" t="str">
        <f>IFERROR(VLOOKUP(Tabela1[[#This Row],[Mat. 3]],'Base de Dados'!$I$5:$J$21,2,0),"")</f>
        <v/>
      </c>
      <c r="J226" s="18" t="str">
        <f>IFERROR(VLOOKUP(Tabela1[[#This Row],[Mat. 4]],'Base de Dados'!$I$5:$J$21,2,0),"")</f>
        <v/>
      </c>
      <c r="K226" s="18" t="str">
        <f>IFERROR(VLOOKUP(Tabela1[[#This Row],[Mat. 1]],'Base de Dados'!$I$2:$M$21,5,0),"")</f>
        <v>1º</v>
      </c>
      <c r="L226" s="18" t="s">
        <v>449</v>
      </c>
      <c r="M226" s="18" t="s">
        <v>313</v>
      </c>
      <c r="N226" s="18" t="s">
        <v>558</v>
      </c>
      <c r="O226" s="18">
        <v>40</v>
      </c>
      <c r="P226" s="18">
        <v>0</v>
      </c>
      <c r="Q226" s="45" t="s">
        <v>504</v>
      </c>
      <c r="R226" s="18" t="s">
        <v>110</v>
      </c>
      <c r="S226" s="18" t="str">
        <f>IFERROR(VLOOKUP(Tabela1[[#This Row],[Cód. Causa]],'Base de Dados'!$O$2:$P$21,2,0),"")</f>
        <v>NÃO OBSERVAÇÃO DOS PARÂMETROS DE FUNCIONAMENTO DO EQUIPAMENTO</v>
      </c>
      <c r="T226" s="18" t="str">
        <f>IFERROR(VLOOKUP(Tabela1[[#This Row],[Tag]],'Base de Dados'!$B$2:$C$64,2,0),"")</f>
        <v/>
      </c>
      <c r="U226" s="18" t="str">
        <f>IFERROR(VLOOKUP(Tabela1[[#This Row],[Tag]],'Base de Dados'!V226:W278,2,0),"")</f>
        <v/>
      </c>
      <c r="V226" s="18">
        <f>DAY(Tabela1[[#This Row],[Data]])</f>
        <v>29</v>
      </c>
      <c r="W226" s="18">
        <f>MONTH(Tabela1[[#This Row],[Data]])</f>
        <v>11</v>
      </c>
      <c r="X226" s="18">
        <f>YEAR(Tabela1[[#This Row],[Data]])</f>
        <v>2022</v>
      </c>
    </row>
    <row r="227" spans="1:24" hidden="1" x14ac:dyDescent="0.25">
      <c r="A227" s="22">
        <v>13980</v>
      </c>
      <c r="B227" s="21">
        <v>44894</v>
      </c>
      <c r="C227" s="23">
        <v>592</v>
      </c>
      <c r="D227" s="24">
        <v>15</v>
      </c>
      <c r="E227" s="24"/>
      <c r="F227" s="24"/>
      <c r="G227" s="18" t="str">
        <f>IFERROR(VLOOKUP(Tabela1[[#This Row],[Mat. 1]],'Base de Dados'!$I$5:$J$21,2,0),"")</f>
        <v>CRISTIANO</v>
      </c>
      <c r="H227" s="18" t="str">
        <f>IFERROR(VLOOKUP(Tabela1[[#This Row],[Mat. 2]],'Base de Dados'!$I$5:$J$21,2,0),"")</f>
        <v>ROBERT</v>
      </c>
      <c r="I227" s="18" t="str">
        <f>IFERROR(VLOOKUP(Tabela1[[#This Row],[Mat. 3]],'Base de Dados'!$I$5:$J$21,2,0),"")</f>
        <v/>
      </c>
      <c r="J227" s="18" t="str">
        <f>IFERROR(VLOOKUP(Tabela1[[#This Row],[Mat. 4]],'Base de Dados'!$I$5:$J$21,2,0),"")</f>
        <v/>
      </c>
      <c r="K227" s="18" t="str">
        <f>IFERROR(VLOOKUP(Tabela1[[#This Row],[Mat. 1]],'Base de Dados'!$I$2:$M$21,5,0),"")</f>
        <v>1º</v>
      </c>
      <c r="L227" s="18" t="s">
        <v>47</v>
      </c>
      <c r="M227" s="18" t="s">
        <v>316</v>
      </c>
      <c r="N227" s="18" t="s">
        <v>558</v>
      </c>
      <c r="O227" s="18">
        <v>170</v>
      </c>
      <c r="P227" s="18">
        <v>0</v>
      </c>
      <c r="Q227" s="45" t="s">
        <v>505</v>
      </c>
      <c r="R227" s="18" t="s">
        <v>116</v>
      </c>
      <c r="S227" s="18" t="str">
        <f>IFERROR(VLOOKUP(Tabela1[[#This Row],[Cód. Causa]],'Base de Dados'!$O$2:$P$21,2,0),"")</f>
        <v xml:space="preserve">EQUIPAMENTO TRABALHANDO COM CARGA EXCESSIVA </v>
      </c>
      <c r="T227" s="18" t="str">
        <f>IFERROR(VLOOKUP(Tabela1[[#This Row],[Tag]],'Base de Dados'!$B$2:$C$64,2,0),"")</f>
        <v>PRENSA MOLDAGEM INNER DASH</v>
      </c>
      <c r="U227" s="18" t="str">
        <f>IFERROR(VLOOKUP(Tabela1[[#This Row],[Tag]],'Base de Dados'!V227:W279,2,0),"")</f>
        <v/>
      </c>
      <c r="V227" s="18">
        <f>DAY(Tabela1[[#This Row],[Data]])</f>
        <v>29</v>
      </c>
      <c r="W227" s="18">
        <f>MONTH(Tabela1[[#This Row],[Data]])</f>
        <v>11</v>
      </c>
      <c r="X227" s="18">
        <f>YEAR(Tabela1[[#This Row],[Data]])</f>
        <v>2022</v>
      </c>
    </row>
    <row r="228" spans="1:24" hidden="1" x14ac:dyDescent="0.25">
      <c r="A228" s="22">
        <v>13981</v>
      </c>
      <c r="B228" s="21">
        <v>44894</v>
      </c>
      <c r="C228" s="23">
        <v>73</v>
      </c>
      <c r="D228" s="24">
        <v>444</v>
      </c>
      <c r="E228" s="24"/>
      <c r="F228" s="24"/>
      <c r="G228" s="18" t="str">
        <f>IFERROR(VLOOKUP(Tabela1[[#This Row],[Mat. 1]],'Base de Dados'!$I$5:$J$21,2,0),"")</f>
        <v>VALDEMAR</v>
      </c>
      <c r="H228" s="18" t="str">
        <f>IFERROR(VLOOKUP(Tabela1[[#This Row],[Mat. 2]],'Base de Dados'!$I$5:$J$21,2,0),"")</f>
        <v>EDUARDO</v>
      </c>
      <c r="I228" s="18" t="str">
        <f>IFERROR(VLOOKUP(Tabela1[[#This Row],[Mat. 3]],'Base de Dados'!$I$5:$J$21,2,0),"")</f>
        <v/>
      </c>
      <c r="J228" s="18" t="str">
        <f>IFERROR(VLOOKUP(Tabela1[[#This Row],[Mat. 4]],'Base de Dados'!$I$5:$J$21,2,0),"")</f>
        <v/>
      </c>
      <c r="K228" s="18" t="str">
        <f>IFERROR(VLOOKUP(Tabela1[[#This Row],[Mat. 1]],'Base de Dados'!$I$2:$M$21,5,0),"")</f>
        <v>3º</v>
      </c>
      <c r="L228" s="18" t="s">
        <v>53</v>
      </c>
      <c r="M228" s="18" t="s">
        <v>316</v>
      </c>
      <c r="N228" s="18" t="s">
        <v>558</v>
      </c>
      <c r="O228" s="18">
        <v>2</v>
      </c>
      <c r="P228" s="18">
        <v>0</v>
      </c>
      <c r="Q228" s="45" t="s">
        <v>506</v>
      </c>
      <c r="R228" s="18" t="s">
        <v>116</v>
      </c>
      <c r="S228" s="18" t="str">
        <f>IFERROR(VLOOKUP(Tabela1[[#This Row],[Cód. Causa]],'Base de Dados'!$O$2:$P$21,2,0),"")</f>
        <v xml:space="preserve">EQUIPAMENTO TRABALHANDO COM CARGA EXCESSIVA </v>
      </c>
      <c r="T228" s="18" t="str">
        <f>IFERROR(VLOOKUP(Tabela1[[#This Row],[Tag]],'Base de Dados'!$B$2:$C$64,2,0),"")</f>
        <v>PRENSA CORTE INNER DASH</v>
      </c>
      <c r="U228" s="18" t="str">
        <f>IFERROR(VLOOKUP(Tabela1[[#This Row],[Tag]],'Base de Dados'!V228:W280,2,0),"")</f>
        <v/>
      </c>
      <c r="V228" s="18">
        <f>DAY(Tabela1[[#This Row],[Data]])</f>
        <v>29</v>
      </c>
      <c r="W228" s="18">
        <f>MONTH(Tabela1[[#This Row],[Data]])</f>
        <v>11</v>
      </c>
      <c r="X228" s="18">
        <f>YEAR(Tabela1[[#This Row],[Data]])</f>
        <v>2022</v>
      </c>
    </row>
    <row r="229" spans="1:24" hidden="1" x14ac:dyDescent="0.25">
      <c r="A229" s="22">
        <v>13982</v>
      </c>
      <c r="B229" s="21">
        <v>44894</v>
      </c>
      <c r="C229" s="23">
        <v>739</v>
      </c>
      <c r="D229" s="24">
        <v>435</v>
      </c>
      <c r="E229" s="24">
        <v>877</v>
      </c>
      <c r="F229" s="24"/>
      <c r="G229" s="18" t="str">
        <f>IFERROR(VLOOKUP(Tabela1[[#This Row],[Mat. 1]],'Base de Dados'!$I$5:$J$21,2,0),"")</f>
        <v>DANILLO</v>
      </c>
      <c r="H229" s="18" t="str">
        <f>IFERROR(VLOOKUP(Tabela1[[#This Row],[Mat. 2]],'Base de Dados'!$I$5:$J$21,2,0),"")</f>
        <v>SILVIO</v>
      </c>
      <c r="I229" s="18" t="str">
        <f>IFERROR(VLOOKUP(Tabela1[[#This Row],[Mat. 3]],'Base de Dados'!$I$5:$J$21,2,0),"")</f>
        <v>RONALDO</v>
      </c>
      <c r="J229" s="18" t="str">
        <f>IFERROR(VLOOKUP(Tabela1[[#This Row],[Mat. 4]],'Base de Dados'!$I$5:$J$21,2,0),"")</f>
        <v/>
      </c>
      <c r="K229" s="18" t="str">
        <f>IFERROR(VLOOKUP(Tabela1[[#This Row],[Mat. 1]],'Base de Dados'!$I$2:$M$21,5,0),"")</f>
        <v>1º</v>
      </c>
      <c r="L229" s="18" t="s">
        <v>42</v>
      </c>
      <c r="M229" s="18" t="s">
        <v>316</v>
      </c>
      <c r="N229" s="18" t="s">
        <v>558</v>
      </c>
      <c r="O229" s="18">
        <v>30</v>
      </c>
      <c r="P229" s="18">
        <v>0</v>
      </c>
      <c r="Q229" s="45" t="s">
        <v>471</v>
      </c>
      <c r="R229" s="18" t="s">
        <v>116</v>
      </c>
      <c r="S229" s="18" t="str">
        <f>IFERROR(VLOOKUP(Tabela1[[#This Row],[Cód. Causa]],'Base de Dados'!$O$2:$P$21,2,0),"")</f>
        <v xml:space="preserve">EQUIPAMENTO TRABALHANDO COM CARGA EXCESSIVA </v>
      </c>
      <c r="T229" s="18" t="str">
        <f>IFERROR(VLOOKUP(Tabela1[[#This Row],[Tag]],'Base de Dados'!$B$2:$C$64,2,0),"")</f>
        <v>INJETORA</v>
      </c>
      <c r="U229" s="18" t="str">
        <f>IFERROR(VLOOKUP(Tabela1[[#This Row],[Tag]],'Base de Dados'!V229:W281,2,0),"")</f>
        <v/>
      </c>
      <c r="V229" s="18">
        <f>DAY(Tabela1[[#This Row],[Data]])</f>
        <v>29</v>
      </c>
      <c r="W229" s="18">
        <f>MONTH(Tabela1[[#This Row],[Data]])</f>
        <v>11</v>
      </c>
      <c r="X229" s="18">
        <f>YEAR(Tabela1[[#This Row],[Data]])</f>
        <v>2022</v>
      </c>
    </row>
    <row r="230" spans="1:24" x14ac:dyDescent="0.25">
      <c r="A230" s="22">
        <v>13984</v>
      </c>
      <c r="B230" s="21">
        <v>44894</v>
      </c>
      <c r="C230" s="23">
        <v>877</v>
      </c>
      <c r="D230" s="24"/>
      <c r="E230" s="24"/>
      <c r="F230" s="24"/>
      <c r="G230" s="18" t="str">
        <f>IFERROR(VLOOKUP(Tabela1[[#This Row],[Mat. 1]],'Base de Dados'!$I$5:$J$21,2,0),"")</f>
        <v>RONALDO</v>
      </c>
      <c r="H230" s="18" t="str">
        <f>IFERROR(VLOOKUP(Tabela1[[#This Row],[Mat. 2]],'Base de Dados'!$I$5:$J$21,2,0),"")</f>
        <v/>
      </c>
      <c r="I230" s="18" t="str">
        <f>IFERROR(VLOOKUP(Tabela1[[#This Row],[Mat. 3]],'Base de Dados'!$I$5:$J$21,2,0),"")</f>
        <v/>
      </c>
      <c r="J230" s="18" t="str">
        <f>IFERROR(VLOOKUP(Tabela1[[#This Row],[Mat. 4]],'Base de Dados'!$I$5:$J$21,2,0),"")</f>
        <v/>
      </c>
      <c r="K230" s="18" t="str">
        <f>IFERROR(VLOOKUP(Tabela1[[#This Row],[Mat. 1]],'Base de Dados'!$I$2:$M$21,5,0),"")</f>
        <v>3º</v>
      </c>
      <c r="L230" s="18" t="s">
        <v>11</v>
      </c>
      <c r="M230" s="18" t="s">
        <v>316</v>
      </c>
      <c r="N230" s="18" t="s">
        <v>558</v>
      </c>
      <c r="O230" s="18">
        <v>187</v>
      </c>
      <c r="P230" s="18">
        <v>0</v>
      </c>
      <c r="Q230" s="45" t="s">
        <v>507</v>
      </c>
      <c r="R230" s="18" t="s">
        <v>116</v>
      </c>
      <c r="S230" s="18" t="str">
        <f>IFERROR(VLOOKUP(Tabela1[[#This Row],[Cód. Causa]],'Base de Dados'!$O$2:$P$21,2,0),"")</f>
        <v xml:space="preserve">EQUIPAMENTO TRABALHANDO COM CARGA EXCESSIVA </v>
      </c>
      <c r="T230" s="18" t="str">
        <f>IFERROR(VLOOKUP(Tabela1[[#This Row],[Tag]],'Base de Dados'!$B$2:$C$64,2,0),"")</f>
        <v>INJETORA CANON</v>
      </c>
      <c r="U230" s="18" t="str">
        <f>IFERROR(VLOOKUP(Tabela1[[#This Row],[Tag]],'Base de Dados'!V230:W282,2,0),"")</f>
        <v/>
      </c>
      <c r="V230" s="18">
        <f>DAY(Tabela1[[#This Row],[Data]])</f>
        <v>29</v>
      </c>
      <c r="W230" s="18">
        <f>MONTH(Tabela1[[#This Row],[Data]])</f>
        <v>11</v>
      </c>
      <c r="X230" s="18">
        <f>YEAR(Tabela1[[#This Row],[Data]])</f>
        <v>2022</v>
      </c>
    </row>
    <row r="231" spans="1:24" hidden="1" x14ac:dyDescent="0.25">
      <c r="A231" s="22">
        <v>13985</v>
      </c>
      <c r="B231" s="21">
        <v>44894</v>
      </c>
      <c r="C231" s="23">
        <v>592</v>
      </c>
      <c r="D231" s="24"/>
      <c r="E231" s="24"/>
      <c r="F231" s="24"/>
      <c r="G231" s="18" t="str">
        <f>IFERROR(VLOOKUP(Tabela1[[#This Row],[Mat. 1]],'Base de Dados'!$I$5:$J$21,2,0),"")</f>
        <v>CRISTIANO</v>
      </c>
      <c r="H231" s="18" t="str">
        <f>IFERROR(VLOOKUP(Tabela1[[#This Row],[Mat. 2]],'Base de Dados'!$I$5:$J$21,2,0),"")</f>
        <v/>
      </c>
      <c r="I231" s="18" t="str">
        <f>IFERROR(VLOOKUP(Tabela1[[#This Row],[Mat. 3]],'Base de Dados'!$I$5:$J$21,2,0),"")</f>
        <v/>
      </c>
      <c r="J231" s="18" t="str">
        <f>IFERROR(VLOOKUP(Tabela1[[#This Row],[Mat. 4]],'Base de Dados'!$I$5:$J$21,2,0),"")</f>
        <v/>
      </c>
      <c r="K231" s="18" t="str">
        <f>IFERROR(VLOOKUP(Tabela1[[#This Row],[Mat. 1]],'Base de Dados'!$I$2:$M$21,5,0),"")</f>
        <v>1º</v>
      </c>
      <c r="L231" s="18" t="s">
        <v>79</v>
      </c>
      <c r="M231" s="18" t="s">
        <v>316</v>
      </c>
      <c r="N231" s="18" t="s">
        <v>558</v>
      </c>
      <c r="O231" s="18">
        <v>15</v>
      </c>
      <c r="P231" s="18">
        <v>0</v>
      </c>
      <c r="Q231" s="45" t="s">
        <v>508</v>
      </c>
      <c r="R231" s="18" t="s">
        <v>116</v>
      </c>
      <c r="S231" s="18" t="str">
        <f>IFERROR(VLOOKUP(Tabela1[[#This Row],[Cód. Causa]],'Base de Dados'!$O$2:$P$21,2,0),"")</f>
        <v xml:space="preserve">EQUIPAMENTO TRABALHANDO COM CARGA EXCESSIVA </v>
      </c>
      <c r="T231" s="18" t="str">
        <f>IFERROR(VLOOKUP(Tabela1[[#This Row],[Tag]],'Base de Dados'!$B$2:$C$64,2,0),"")</f>
        <v>PRENSA COM INJEÇÃO PU INNER 03</v>
      </c>
      <c r="U231" s="18" t="str">
        <f>IFERROR(VLOOKUP(Tabela1[[#This Row],[Tag]],'Base de Dados'!V231:W283,2,0),"")</f>
        <v/>
      </c>
      <c r="V231" s="18">
        <f>DAY(Tabela1[[#This Row],[Data]])</f>
        <v>29</v>
      </c>
      <c r="W231" s="18">
        <f>MONTH(Tabela1[[#This Row],[Data]])</f>
        <v>11</v>
      </c>
      <c r="X231" s="18">
        <f>YEAR(Tabela1[[#This Row],[Data]])</f>
        <v>2022</v>
      </c>
    </row>
    <row r="232" spans="1:24" hidden="1" x14ac:dyDescent="0.25">
      <c r="A232" s="22">
        <v>15018</v>
      </c>
      <c r="B232" s="21">
        <v>44894</v>
      </c>
      <c r="C232" s="23">
        <v>677</v>
      </c>
      <c r="D232" s="24">
        <v>540</v>
      </c>
      <c r="E232" s="24"/>
      <c r="F232" s="24"/>
      <c r="G232" s="18" t="str">
        <f>IFERROR(VLOOKUP(Tabela1[[#This Row],[Mat. 1]],'Base de Dados'!$I$5:$J$21,2,0),"")</f>
        <v>RAFAEL</v>
      </c>
      <c r="H232" s="18" t="str">
        <f>IFERROR(VLOOKUP(Tabela1[[#This Row],[Mat. 2]],'Base de Dados'!$I$5:$J$21,2,0),"")</f>
        <v>ANDERSON</v>
      </c>
      <c r="I232" s="18" t="str">
        <f>IFERROR(VLOOKUP(Tabela1[[#This Row],[Mat. 3]],'Base de Dados'!$I$5:$J$21,2,0),"")</f>
        <v/>
      </c>
      <c r="J232" s="18" t="str">
        <f>IFERROR(VLOOKUP(Tabela1[[#This Row],[Mat. 4]],'Base de Dados'!$I$5:$J$21,2,0),"")</f>
        <v/>
      </c>
      <c r="K232" s="18" t="str">
        <f>IFERROR(VLOOKUP(Tabela1[[#This Row],[Mat. 1]],'Base de Dados'!$I$2:$M$21,5,0),"")</f>
        <v>2º</v>
      </c>
      <c r="L232" s="18" t="s">
        <v>509</v>
      </c>
      <c r="M232" s="18" t="s">
        <v>316</v>
      </c>
      <c r="N232" s="18" t="s">
        <v>558</v>
      </c>
      <c r="O232" s="18">
        <v>140</v>
      </c>
      <c r="P232" s="18">
        <v>0</v>
      </c>
      <c r="Q232" s="45" t="s">
        <v>510</v>
      </c>
      <c r="R232" s="18" t="s">
        <v>116</v>
      </c>
      <c r="S232" s="18" t="str">
        <f>IFERROR(VLOOKUP(Tabela1[[#This Row],[Cód. Causa]],'Base de Dados'!$O$2:$P$21,2,0),"")</f>
        <v xml:space="preserve">EQUIPAMENTO TRABALHANDO COM CARGA EXCESSIVA </v>
      </c>
      <c r="T232" s="18" t="str">
        <f>IFERROR(VLOOKUP(Tabela1[[#This Row],[Tag]],'Base de Dados'!$B$2:$C$64,2,0),"")</f>
        <v/>
      </c>
      <c r="U232" s="18" t="str">
        <f>IFERROR(VLOOKUP(Tabela1[[#This Row],[Tag]],'Base de Dados'!V232:W284,2,0),"")</f>
        <v/>
      </c>
      <c r="V232" s="18">
        <f>DAY(Tabela1[[#This Row],[Data]])</f>
        <v>29</v>
      </c>
      <c r="W232" s="18">
        <f>MONTH(Tabela1[[#This Row],[Data]])</f>
        <v>11</v>
      </c>
      <c r="X232" s="18">
        <f>YEAR(Tabela1[[#This Row],[Data]])</f>
        <v>2022</v>
      </c>
    </row>
    <row r="233" spans="1:24" hidden="1" x14ac:dyDescent="0.25">
      <c r="A233" s="22">
        <v>15019</v>
      </c>
      <c r="B233" s="21">
        <v>44894</v>
      </c>
      <c r="C233" s="23">
        <v>721</v>
      </c>
      <c r="D233" s="24"/>
      <c r="E233" s="24"/>
      <c r="F233" s="24"/>
      <c r="G233" s="18" t="str">
        <f>IFERROR(VLOOKUP(Tabela1[[#This Row],[Mat. 1]],'Base de Dados'!$I$5:$J$21,2,0),"")</f>
        <v>GENILSON</v>
      </c>
      <c r="H233" s="18" t="str">
        <f>IFERROR(VLOOKUP(Tabela1[[#This Row],[Mat. 2]],'Base de Dados'!$I$5:$J$21,2,0),"")</f>
        <v/>
      </c>
      <c r="I233" s="18" t="str">
        <f>IFERROR(VLOOKUP(Tabela1[[#This Row],[Mat. 3]],'Base de Dados'!$I$5:$J$21,2,0),"")</f>
        <v/>
      </c>
      <c r="J233" s="18" t="str">
        <f>IFERROR(VLOOKUP(Tabela1[[#This Row],[Mat. 4]],'Base de Dados'!$I$5:$J$21,2,0),"")</f>
        <v/>
      </c>
      <c r="K233" s="18" t="str">
        <f>IFERROR(VLOOKUP(Tabela1[[#This Row],[Mat. 1]],'Base de Dados'!$I$2:$M$21,5,0),"")</f>
        <v>1º</v>
      </c>
      <c r="L233" s="18" t="s">
        <v>183</v>
      </c>
      <c r="M233" s="18" t="s">
        <v>313</v>
      </c>
      <c r="N233" s="18" t="s">
        <v>558</v>
      </c>
      <c r="O233" s="18">
        <v>20</v>
      </c>
      <c r="P233" s="18">
        <v>0</v>
      </c>
      <c r="Q233" s="45" t="s">
        <v>511</v>
      </c>
      <c r="R233" s="18" t="s">
        <v>34</v>
      </c>
      <c r="S233" s="18" t="str">
        <f>IFERROR(VLOOKUP(Tabela1[[#This Row],[Cód. Causa]],'Base de Dados'!$O$2:$P$21,2,0),"")</f>
        <v>FALHA EM COMPONENTES ELETRONICO</v>
      </c>
      <c r="T233" s="18" t="str">
        <f>IFERROR(VLOOKUP(Tabela1[[#This Row],[Tag]],'Base de Dados'!$B$2:$C$64,2,0),"")</f>
        <v>INJETORA CARPETE</v>
      </c>
      <c r="U233" s="18" t="str">
        <f>IFERROR(VLOOKUP(Tabela1[[#This Row],[Tag]],'Base de Dados'!V233:W285,2,0),"")</f>
        <v/>
      </c>
      <c r="V233" s="18">
        <f>DAY(Tabela1[[#This Row],[Data]])</f>
        <v>29</v>
      </c>
      <c r="W233" s="18">
        <f>MONTH(Tabela1[[#This Row],[Data]])</f>
        <v>11</v>
      </c>
      <c r="X233" s="18">
        <f>YEAR(Tabela1[[#This Row],[Data]])</f>
        <v>2022</v>
      </c>
    </row>
    <row r="234" spans="1:24" hidden="1" x14ac:dyDescent="0.25">
      <c r="A234" s="22">
        <v>12199</v>
      </c>
      <c r="B234" s="21">
        <v>44895</v>
      </c>
      <c r="C234" s="23">
        <v>282</v>
      </c>
      <c r="D234" s="24">
        <v>631</v>
      </c>
      <c r="E234" s="24"/>
      <c r="F234" s="24"/>
      <c r="G234" s="18" t="str">
        <f>IFERROR(VLOOKUP(Tabela1[[#This Row],[Mat. 1]],'Base de Dados'!$I$5:$J$21,2,0),"")</f>
        <v/>
      </c>
      <c r="H234" s="18" t="str">
        <f>IFERROR(VLOOKUP(Tabela1[[#This Row],[Mat. 2]],'Base de Dados'!$I$5:$J$21,2,0),"")</f>
        <v>JOSINALDO</v>
      </c>
      <c r="I234" s="18" t="str">
        <f>IFERROR(VLOOKUP(Tabela1[[#This Row],[Mat. 3]],'Base de Dados'!$I$5:$J$21,2,0),"")</f>
        <v/>
      </c>
      <c r="J234" s="18" t="str">
        <f>IFERROR(VLOOKUP(Tabela1[[#This Row],[Mat. 4]],'Base de Dados'!$I$5:$J$21,2,0),"")</f>
        <v/>
      </c>
      <c r="K234" s="18" t="str">
        <f>IFERROR(VLOOKUP(Tabela1[[#This Row],[Mat. 1]],'Base de Dados'!$I$2:$M$21,5,0),"")</f>
        <v>2º</v>
      </c>
      <c r="L234" s="18" t="s">
        <v>98</v>
      </c>
      <c r="M234" s="18" t="s">
        <v>316</v>
      </c>
      <c r="N234" s="18" t="s">
        <v>558</v>
      </c>
      <c r="O234" s="18">
        <v>55</v>
      </c>
      <c r="P234" s="18">
        <v>0</v>
      </c>
      <c r="Q234" s="45" t="s">
        <v>512</v>
      </c>
      <c r="R234" s="18" t="s">
        <v>116</v>
      </c>
      <c r="S234" s="18" t="str">
        <f>IFERROR(VLOOKUP(Tabela1[[#This Row],[Cód. Causa]],'Base de Dados'!$O$2:$P$21,2,0),"")</f>
        <v xml:space="preserve">EQUIPAMENTO TRABALHANDO COM CARGA EXCESSIVA </v>
      </c>
      <c r="T234" s="18" t="str">
        <f>IFERROR(VLOOKUP(Tabela1[[#This Row],[Tag]],'Base de Dados'!$B$2:$C$64,2,0),"")</f>
        <v>PRENSA MOLDAGEM 1</v>
      </c>
      <c r="U234" s="18" t="str">
        <f>IFERROR(VLOOKUP(Tabela1[[#This Row],[Tag]],'Base de Dados'!V234:W286,2,0),"")</f>
        <v/>
      </c>
      <c r="V234" s="18">
        <f>DAY(Tabela1[[#This Row],[Data]])</f>
        <v>30</v>
      </c>
      <c r="W234" s="18">
        <f>MONTH(Tabela1[[#This Row],[Data]])</f>
        <v>11</v>
      </c>
      <c r="X234" s="18">
        <f>YEAR(Tabela1[[#This Row],[Data]])</f>
        <v>2022</v>
      </c>
    </row>
    <row r="235" spans="1:24" hidden="1" x14ac:dyDescent="0.25">
      <c r="A235" s="22">
        <v>12665</v>
      </c>
      <c r="B235" s="21">
        <v>44895</v>
      </c>
      <c r="C235" s="23">
        <v>73</v>
      </c>
      <c r="D235" s="24"/>
      <c r="E235" s="24"/>
      <c r="F235" s="24"/>
      <c r="G235" s="18" t="str">
        <f>IFERROR(VLOOKUP(Tabela1[[#This Row],[Mat. 1]],'Base de Dados'!$I$5:$J$21,2,0),"")</f>
        <v>VALDEMAR</v>
      </c>
      <c r="H235" s="18" t="str">
        <f>IFERROR(VLOOKUP(Tabela1[[#This Row],[Mat. 2]],'Base de Dados'!$I$5:$J$21,2,0),"")</f>
        <v/>
      </c>
      <c r="I235" s="18" t="str">
        <f>IFERROR(VLOOKUP(Tabela1[[#This Row],[Mat. 3]],'Base de Dados'!$I$5:$J$21,2,0),"")</f>
        <v/>
      </c>
      <c r="J235" s="18" t="str">
        <f>IFERROR(VLOOKUP(Tabela1[[#This Row],[Mat. 4]],'Base de Dados'!$I$5:$J$21,2,0),"")</f>
        <v/>
      </c>
      <c r="K235" s="18" t="str">
        <f>IFERROR(VLOOKUP(Tabela1[[#This Row],[Mat. 1]],'Base de Dados'!$I$2:$M$21,5,0),"")</f>
        <v>3º</v>
      </c>
      <c r="L235" s="18" t="s">
        <v>112</v>
      </c>
      <c r="M235" s="18" t="s">
        <v>316</v>
      </c>
      <c r="N235" s="18" t="s">
        <v>558</v>
      </c>
      <c r="O235" s="18">
        <v>7</v>
      </c>
      <c r="P235" s="18">
        <v>0</v>
      </c>
      <c r="Q235" s="45" t="s">
        <v>513</v>
      </c>
      <c r="R235" s="18" t="s">
        <v>116</v>
      </c>
      <c r="S235" s="18" t="str">
        <f>IFERROR(VLOOKUP(Tabela1[[#This Row],[Cód. Causa]],'Base de Dados'!$O$2:$P$21,2,0),"")</f>
        <v xml:space="preserve">EQUIPAMENTO TRABALHANDO COM CARGA EXCESSIVA </v>
      </c>
      <c r="T235" s="18" t="str">
        <f>IFERROR(VLOOKUP(Tabela1[[#This Row],[Tag]],'Base de Dados'!$B$2:$C$64,2,0),"")</f>
        <v>ROBÔ ABB APLIC. COLA DO TETO</v>
      </c>
      <c r="U235" s="18" t="str">
        <f>IFERROR(VLOOKUP(Tabela1[[#This Row],[Tag]],'Base de Dados'!V235:W287,2,0),"")</f>
        <v/>
      </c>
      <c r="V235" s="18">
        <f>DAY(Tabela1[[#This Row],[Data]])</f>
        <v>30</v>
      </c>
      <c r="W235" s="18">
        <f>MONTH(Tabela1[[#This Row],[Data]])</f>
        <v>11</v>
      </c>
      <c r="X235" s="18">
        <f>YEAR(Tabela1[[#This Row],[Data]])</f>
        <v>2022</v>
      </c>
    </row>
    <row r="236" spans="1:24" hidden="1" x14ac:dyDescent="0.25">
      <c r="A236" s="22">
        <v>12923</v>
      </c>
      <c r="B236" s="21">
        <v>44895</v>
      </c>
      <c r="C236" s="23">
        <v>435</v>
      </c>
      <c r="D236" s="24"/>
      <c r="E236" s="24"/>
      <c r="F236" s="24"/>
      <c r="G236" s="18" t="str">
        <f>IFERROR(VLOOKUP(Tabela1[[#This Row],[Mat. 1]],'Base de Dados'!$I$5:$J$21,2,0),"")</f>
        <v>SILVIO</v>
      </c>
      <c r="H236" s="18" t="str">
        <f>IFERROR(VLOOKUP(Tabela1[[#This Row],[Mat. 2]],'Base de Dados'!$I$5:$J$21,2,0),"")</f>
        <v/>
      </c>
      <c r="I236" s="18" t="str">
        <f>IFERROR(VLOOKUP(Tabela1[[#This Row],[Mat. 3]],'Base de Dados'!$I$5:$J$21,2,0),"")</f>
        <v/>
      </c>
      <c r="J236" s="18" t="str">
        <f>IFERROR(VLOOKUP(Tabela1[[#This Row],[Mat. 4]],'Base de Dados'!$I$5:$J$21,2,0),"")</f>
        <v/>
      </c>
      <c r="K236" s="18" t="str">
        <f>IFERROR(VLOOKUP(Tabela1[[#This Row],[Mat. 1]],'Base de Dados'!$I$2:$M$21,5,0),"")</f>
        <v>1º</v>
      </c>
      <c r="L236" s="18" t="s">
        <v>514</v>
      </c>
      <c r="M236" s="18" t="s">
        <v>313</v>
      </c>
      <c r="N236" s="18" t="s">
        <v>558</v>
      </c>
      <c r="O236" s="18">
        <v>40</v>
      </c>
      <c r="P236" s="18">
        <v>0</v>
      </c>
      <c r="Q236" s="45" t="s">
        <v>515</v>
      </c>
      <c r="R236" s="18" t="s">
        <v>34</v>
      </c>
      <c r="S236" s="18" t="str">
        <f>IFERROR(VLOOKUP(Tabela1[[#This Row],[Cód. Causa]],'Base de Dados'!$O$2:$P$21,2,0),"")</f>
        <v>FALHA EM COMPONENTES ELETRONICO</v>
      </c>
      <c r="T236" s="18" t="str">
        <f>IFERROR(VLOOKUP(Tabela1[[#This Row],[Tag]],'Base de Dados'!$B$2:$C$64,2,0),"")</f>
        <v/>
      </c>
      <c r="U236" s="18" t="str">
        <f>IFERROR(VLOOKUP(Tabela1[[#This Row],[Tag]],'Base de Dados'!V236:W288,2,0),"")</f>
        <v/>
      </c>
      <c r="V236" s="18">
        <f>DAY(Tabela1[[#This Row],[Data]])</f>
        <v>30</v>
      </c>
      <c r="W236" s="18">
        <f>MONTH(Tabela1[[#This Row],[Data]])</f>
        <v>11</v>
      </c>
      <c r="X236" s="18">
        <f>YEAR(Tabela1[[#This Row],[Data]])</f>
        <v>2022</v>
      </c>
    </row>
    <row r="237" spans="1:24" hidden="1" x14ac:dyDescent="0.25">
      <c r="A237" s="22">
        <v>12924</v>
      </c>
      <c r="B237" s="21">
        <v>44895</v>
      </c>
      <c r="C237" s="23">
        <v>540</v>
      </c>
      <c r="D237" s="24">
        <v>248</v>
      </c>
      <c r="E237" s="24"/>
      <c r="F237" s="24"/>
      <c r="G237" s="18" t="str">
        <f>IFERROR(VLOOKUP(Tabela1[[#This Row],[Mat. 1]],'Base de Dados'!$I$5:$J$21,2,0),"")</f>
        <v>ANDERSON</v>
      </c>
      <c r="H237" s="18" t="str">
        <f>IFERROR(VLOOKUP(Tabela1[[#This Row],[Mat. 2]],'Base de Dados'!$I$5:$J$21,2,0),"")</f>
        <v>RUIGUENS</v>
      </c>
      <c r="I237" s="18" t="str">
        <f>IFERROR(VLOOKUP(Tabela1[[#This Row],[Mat. 3]],'Base de Dados'!$I$5:$J$21,2,0),"")</f>
        <v/>
      </c>
      <c r="J237" s="18" t="str">
        <f>IFERROR(VLOOKUP(Tabela1[[#This Row],[Mat. 4]],'Base de Dados'!$I$5:$J$21,2,0),"")</f>
        <v/>
      </c>
      <c r="K237" s="18" t="str">
        <f>IFERROR(VLOOKUP(Tabela1[[#This Row],[Mat. 1]],'Base de Dados'!$I$2:$M$21,5,0),"")</f>
        <v>2º</v>
      </c>
      <c r="L237" s="18" t="s">
        <v>66</v>
      </c>
      <c r="M237" s="18" t="s">
        <v>316</v>
      </c>
      <c r="N237" s="18" t="s">
        <v>558</v>
      </c>
      <c r="O237" s="18">
        <v>60</v>
      </c>
      <c r="P237" s="18">
        <v>0</v>
      </c>
      <c r="Q237" s="45" t="s">
        <v>516</v>
      </c>
      <c r="R237" s="18" t="s">
        <v>116</v>
      </c>
      <c r="S237" s="18" t="str">
        <f>IFERROR(VLOOKUP(Tabela1[[#This Row],[Cód. Causa]],'Base de Dados'!$O$2:$P$21,2,0),"")</f>
        <v xml:space="preserve">EQUIPAMENTO TRABALHANDO COM CARGA EXCESSIVA </v>
      </c>
      <c r="T237" s="18" t="str">
        <f>IFERROR(VLOOKUP(Tabela1[[#This Row],[Tag]],'Base de Dados'!$B$2:$C$64,2,0),"")</f>
        <v>PRENSA COM INJEÇÃO PU INNER 01</v>
      </c>
      <c r="U237" s="18" t="str">
        <f>IFERROR(VLOOKUP(Tabela1[[#This Row],[Tag]],'Base de Dados'!V237:W289,2,0),"")</f>
        <v/>
      </c>
      <c r="V237" s="18">
        <f>DAY(Tabela1[[#This Row],[Data]])</f>
        <v>30</v>
      </c>
      <c r="W237" s="18">
        <f>MONTH(Tabela1[[#This Row],[Data]])</f>
        <v>11</v>
      </c>
      <c r="X237" s="18">
        <f>YEAR(Tabela1[[#This Row],[Data]])</f>
        <v>2022</v>
      </c>
    </row>
    <row r="238" spans="1:24" hidden="1" x14ac:dyDescent="0.25">
      <c r="A238" s="22">
        <v>13136</v>
      </c>
      <c r="B238" s="21">
        <v>44895</v>
      </c>
      <c r="C238" s="23">
        <v>592</v>
      </c>
      <c r="D238" s="24"/>
      <c r="E238" s="24"/>
      <c r="F238" s="24"/>
      <c r="G238" s="18" t="str">
        <f>IFERROR(VLOOKUP(Tabela1[[#This Row],[Mat. 1]],'Base de Dados'!$I$5:$J$21,2,0),"")</f>
        <v>CRISTIANO</v>
      </c>
      <c r="H238" s="18" t="str">
        <f>IFERROR(VLOOKUP(Tabela1[[#This Row],[Mat. 2]],'Base de Dados'!$I$5:$J$21,2,0),"")</f>
        <v/>
      </c>
      <c r="I238" s="18" t="str">
        <f>IFERROR(VLOOKUP(Tabela1[[#This Row],[Mat. 3]],'Base de Dados'!$I$5:$J$21,2,0),"")</f>
        <v/>
      </c>
      <c r="J238" s="18" t="str">
        <f>IFERROR(VLOOKUP(Tabela1[[#This Row],[Mat. 4]],'Base de Dados'!$I$5:$J$21,2,0),"")</f>
        <v/>
      </c>
      <c r="K238" s="18" t="str">
        <f>IFERROR(VLOOKUP(Tabela1[[#This Row],[Mat. 1]],'Base de Dados'!$I$2:$M$21,5,0),"")</f>
        <v>1º</v>
      </c>
      <c r="L238" s="18" t="s">
        <v>517</v>
      </c>
      <c r="M238" s="18" t="s">
        <v>316</v>
      </c>
      <c r="N238" s="18" t="s">
        <v>558</v>
      </c>
      <c r="O238" s="18">
        <v>7</v>
      </c>
      <c r="P238" s="18">
        <v>0</v>
      </c>
      <c r="Q238" s="45" t="s">
        <v>518</v>
      </c>
      <c r="R238" s="18" t="s">
        <v>116</v>
      </c>
      <c r="S238" s="18" t="str">
        <f>IFERROR(VLOOKUP(Tabela1[[#This Row],[Cód. Causa]],'Base de Dados'!$O$2:$P$21,2,0),"")</f>
        <v xml:space="preserve">EQUIPAMENTO TRABALHANDO COM CARGA EXCESSIVA </v>
      </c>
      <c r="T238" s="18" t="str">
        <f>IFERROR(VLOOKUP(Tabela1[[#This Row],[Tag]],'Base de Dados'!$B$2:$C$64,2,0),"")</f>
        <v/>
      </c>
      <c r="U238" s="18" t="str">
        <f>IFERROR(VLOOKUP(Tabela1[[#This Row],[Tag]],'Base de Dados'!V238:W290,2,0),"")</f>
        <v/>
      </c>
      <c r="V238" s="18">
        <f>DAY(Tabela1[[#This Row],[Data]])</f>
        <v>30</v>
      </c>
      <c r="W238" s="18">
        <f>MONTH(Tabela1[[#This Row],[Data]])</f>
        <v>11</v>
      </c>
      <c r="X238" s="18">
        <f>YEAR(Tabela1[[#This Row],[Data]])</f>
        <v>2022</v>
      </c>
    </row>
    <row r="239" spans="1:24" hidden="1" x14ac:dyDescent="0.25">
      <c r="A239" s="22">
        <v>13137</v>
      </c>
      <c r="B239" s="21">
        <v>44895</v>
      </c>
      <c r="C239" s="23">
        <v>592</v>
      </c>
      <c r="D239" s="24"/>
      <c r="E239" s="24"/>
      <c r="F239" s="24"/>
      <c r="G239" s="18" t="str">
        <f>IFERROR(VLOOKUP(Tabela1[[#This Row],[Mat. 1]],'Base de Dados'!$I$5:$J$21,2,0),"")</f>
        <v>CRISTIANO</v>
      </c>
      <c r="H239" s="18" t="str">
        <f>IFERROR(VLOOKUP(Tabela1[[#This Row],[Mat. 2]],'Base de Dados'!$I$5:$J$21,2,0),"")</f>
        <v/>
      </c>
      <c r="I239" s="18" t="str">
        <f>IFERROR(VLOOKUP(Tabela1[[#This Row],[Mat. 3]],'Base de Dados'!$I$5:$J$21,2,0),"")</f>
        <v/>
      </c>
      <c r="J239" s="18" t="str">
        <f>IFERROR(VLOOKUP(Tabela1[[#This Row],[Mat. 4]],'Base de Dados'!$I$5:$J$21,2,0),"")</f>
        <v/>
      </c>
      <c r="K239" s="18" t="str">
        <f>IFERROR(VLOOKUP(Tabela1[[#This Row],[Mat. 1]],'Base de Dados'!$I$2:$M$21,5,0),"")</f>
        <v>1º</v>
      </c>
      <c r="L239" s="18" t="s">
        <v>145</v>
      </c>
      <c r="M239" s="18" t="s">
        <v>316</v>
      </c>
      <c r="N239" s="18" t="s">
        <v>558</v>
      </c>
      <c r="O239" s="18">
        <v>13</v>
      </c>
      <c r="P239" s="18">
        <v>0</v>
      </c>
      <c r="Q239" s="45" t="s">
        <v>519</v>
      </c>
      <c r="R239" s="18" t="s">
        <v>116</v>
      </c>
      <c r="S239" s="18" t="str">
        <f>IFERROR(VLOOKUP(Tabela1[[#This Row],[Cód. Causa]],'Base de Dados'!$O$2:$P$21,2,0),"")</f>
        <v xml:space="preserve">EQUIPAMENTO TRABALHANDO COM CARGA EXCESSIVA </v>
      </c>
      <c r="T239" s="18" t="str">
        <f>IFERROR(VLOOKUP(Tabela1[[#This Row],[Tag]],'Base de Dados'!$B$2:$C$64,2,0),"")</f>
        <v>VIROLA DO TETO 521</v>
      </c>
      <c r="U239" s="18" t="str">
        <f>IFERROR(VLOOKUP(Tabela1[[#This Row],[Tag]],'Base de Dados'!V239:W291,2,0),"")</f>
        <v/>
      </c>
      <c r="V239" s="18">
        <f>DAY(Tabela1[[#This Row],[Data]])</f>
        <v>30</v>
      </c>
      <c r="W239" s="18">
        <f>MONTH(Tabela1[[#This Row],[Data]])</f>
        <v>11</v>
      </c>
      <c r="X239" s="18">
        <f>YEAR(Tabela1[[#This Row],[Data]])</f>
        <v>2022</v>
      </c>
    </row>
    <row r="240" spans="1:24" hidden="1" x14ac:dyDescent="0.25">
      <c r="A240" s="22">
        <v>13139</v>
      </c>
      <c r="B240" s="21">
        <v>44895</v>
      </c>
      <c r="C240" s="23">
        <v>631</v>
      </c>
      <c r="D240" s="24"/>
      <c r="E240" s="24"/>
      <c r="F240" s="24"/>
      <c r="G240" s="18" t="str">
        <f>IFERROR(VLOOKUP(Tabela1[[#This Row],[Mat. 1]],'Base de Dados'!$I$5:$J$21,2,0),"")</f>
        <v>JOSINALDO</v>
      </c>
      <c r="H240" s="18" t="str">
        <f>IFERROR(VLOOKUP(Tabela1[[#This Row],[Mat. 2]],'Base de Dados'!$I$5:$J$21,2,0),"")</f>
        <v/>
      </c>
      <c r="I240" s="18" t="str">
        <f>IFERROR(VLOOKUP(Tabela1[[#This Row],[Mat. 3]],'Base de Dados'!$I$5:$J$21,2,0),"")</f>
        <v/>
      </c>
      <c r="J240" s="18" t="str">
        <f>IFERROR(VLOOKUP(Tabela1[[#This Row],[Mat. 4]],'Base de Dados'!$I$5:$J$21,2,0),"")</f>
        <v/>
      </c>
      <c r="K240" s="18" t="str">
        <f>IFERROR(VLOOKUP(Tabela1[[#This Row],[Mat. 1]],'Base de Dados'!$I$2:$M$21,5,0),"")</f>
        <v>2º</v>
      </c>
      <c r="L240" s="18" t="s">
        <v>79</v>
      </c>
      <c r="M240" s="18" t="s">
        <v>313</v>
      </c>
      <c r="N240" s="18" t="s">
        <v>558</v>
      </c>
      <c r="O240" s="18">
        <v>14</v>
      </c>
      <c r="P240" s="18">
        <v>0</v>
      </c>
      <c r="Q240" s="45" t="s">
        <v>520</v>
      </c>
      <c r="R240" s="18" t="s">
        <v>116</v>
      </c>
      <c r="S240" s="18" t="str">
        <f>IFERROR(VLOOKUP(Tabela1[[#This Row],[Cód. Causa]],'Base de Dados'!$O$2:$P$21,2,0),"")</f>
        <v xml:space="preserve">EQUIPAMENTO TRABALHANDO COM CARGA EXCESSIVA </v>
      </c>
      <c r="T240" s="18" t="str">
        <f>IFERROR(VLOOKUP(Tabela1[[#This Row],[Tag]],'Base de Dados'!$B$2:$C$64,2,0),"")</f>
        <v>PRENSA COM INJEÇÃO PU INNER 03</v>
      </c>
      <c r="U240" s="18" t="str">
        <f>IFERROR(VLOOKUP(Tabela1[[#This Row],[Tag]],'Base de Dados'!V240:W292,2,0),"")</f>
        <v/>
      </c>
      <c r="V240" s="18">
        <f>DAY(Tabela1[[#This Row],[Data]])</f>
        <v>30</v>
      </c>
      <c r="W240" s="18">
        <f>MONTH(Tabela1[[#This Row],[Data]])</f>
        <v>11</v>
      </c>
      <c r="X240" s="18">
        <f>YEAR(Tabela1[[#This Row],[Data]])</f>
        <v>2022</v>
      </c>
    </row>
    <row r="241" spans="1:24" hidden="1" x14ac:dyDescent="0.25">
      <c r="A241" s="22">
        <v>13140</v>
      </c>
      <c r="B241" s="21">
        <v>44895</v>
      </c>
      <c r="C241" s="23">
        <v>631</v>
      </c>
      <c r="D241" s="24"/>
      <c r="E241" s="24"/>
      <c r="F241" s="24"/>
      <c r="G241" s="18" t="str">
        <f>IFERROR(VLOOKUP(Tabela1[[#This Row],[Mat. 1]],'Base de Dados'!$I$5:$J$21,2,0),"")</f>
        <v>JOSINALDO</v>
      </c>
      <c r="H241" s="18" t="str">
        <f>IFERROR(VLOOKUP(Tabela1[[#This Row],[Mat. 2]],'Base de Dados'!$I$5:$J$21,2,0),"")</f>
        <v/>
      </c>
      <c r="I241" s="18" t="str">
        <f>IFERROR(VLOOKUP(Tabela1[[#This Row],[Mat. 3]],'Base de Dados'!$I$5:$J$21,2,0),"")</f>
        <v/>
      </c>
      <c r="J241" s="18" t="str">
        <f>IFERROR(VLOOKUP(Tabela1[[#This Row],[Mat. 4]],'Base de Dados'!$I$5:$J$21,2,0),"")</f>
        <v/>
      </c>
      <c r="K241" s="18" t="str">
        <f>IFERROR(VLOOKUP(Tabela1[[#This Row],[Mat. 1]],'Base de Dados'!$I$2:$M$21,5,0),"")</f>
        <v>2º</v>
      </c>
      <c r="L241" s="18" t="s">
        <v>405</v>
      </c>
      <c r="M241" s="18" t="s">
        <v>313</v>
      </c>
      <c r="N241" s="18" t="s">
        <v>558</v>
      </c>
      <c r="O241" s="18">
        <v>17</v>
      </c>
      <c r="P241" s="18">
        <v>0</v>
      </c>
      <c r="Q241" s="45" t="s">
        <v>521</v>
      </c>
      <c r="R241" s="18" t="s">
        <v>116</v>
      </c>
      <c r="S241" s="18" t="str">
        <f>IFERROR(VLOOKUP(Tabela1[[#This Row],[Cód. Causa]],'Base de Dados'!$O$2:$P$21,2,0),"")</f>
        <v xml:space="preserve">EQUIPAMENTO TRABALHANDO COM CARGA EXCESSIVA </v>
      </c>
      <c r="T241" s="18" t="str">
        <f>IFERROR(VLOOKUP(Tabela1[[#This Row],[Tag]],'Base de Dados'!$B$2:$C$64,2,0),"")</f>
        <v/>
      </c>
      <c r="U241" s="18" t="str">
        <f>IFERROR(VLOOKUP(Tabela1[[#This Row],[Tag]],'Base de Dados'!V241:W293,2,0),"")</f>
        <v/>
      </c>
      <c r="V241" s="18">
        <f>DAY(Tabela1[[#This Row],[Data]])</f>
        <v>30</v>
      </c>
      <c r="W241" s="18">
        <f>MONTH(Tabela1[[#This Row],[Data]])</f>
        <v>11</v>
      </c>
      <c r="X241" s="18">
        <f>YEAR(Tabela1[[#This Row],[Data]])</f>
        <v>2022</v>
      </c>
    </row>
    <row r="242" spans="1:24" hidden="1" x14ac:dyDescent="0.25">
      <c r="A242" s="22">
        <v>13142</v>
      </c>
      <c r="B242" s="21">
        <v>44895</v>
      </c>
      <c r="C242" s="23">
        <v>540</v>
      </c>
      <c r="D242" s="24"/>
      <c r="E242" s="24"/>
      <c r="F242" s="24"/>
      <c r="G242" s="18" t="str">
        <f>IFERROR(VLOOKUP(Tabela1[[#This Row],[Mat. 1]],'Base de Dados'!$I$5:$J$21,2,0),"")</f>
        <v>ANDERSON</v>
      </c>
      <c r="H242" s="18" t="str">
        <f>IFERROR(VLOOKUP(Tabela1[[#This Row],[Mat. 2]],'Base de Dados'!$I$5:$J$21,2,0),"")</f>
        <v/>
      </c>
      <c r="I242" s="18" t="str">
        <f>IFERROR(VLOOKUP(Tabela1[[#This Row],[Mat. 3]],'Base de Dados'!$I$5:$J$21,2,0),"")</f>
        <v/>
      </c>
      <c r="J242" s="18" t="str">
        <f>IFERROR(VLOOKUP(Tabela1[[#This Row],[Mat. 4]],'Base de Dados'!$I$5:$J$21,2,0),"")</f>
        <v/>
      </c>
      <c r="K242" s="18" t="str">
        <f>IFERROR(VLOOKUP(Tabela1[[#This Row],[Mat. 1]],'Base de Dados'!$I$2:$M$21,5,0),"")</f>
        <v>2º</v>
      </c>
      <c r="L242" s="18" t="s">
        <v>368</v>
      </c>
      <c r="M242" s="18" t="s">
        <v>316</v>
      </c>
      <c r="N242" s="18" t="s">
        <v>558</v>
      </c>
      <c r="O242" s="18">
        <v>7</v>
      </c>
      <c r="P242" s="18">
        <v>0</v>
      </c>
      <c r="Q242" s="45" t="s">
        <v>522</v>
      </c>
      <c r="R242" s="18" t="s">
        <v>116</v>
      </c>
      <c r="S242" s="18" t="str">
        <f>IFERROR(VLOOKUP(Tabela1[[#This Row],[Cód. Causa]],'Base de Dados'!$O$2:$P$21,2,0),"")</f>
        <v xml:space="preserve">EQUIPAMENTO TRABALHANDO COM CARGA EXCESSIVA </v>
      </c>
      <c r="T242" s="18" t="str">
        <f>IFERROR(VLOOKUP(Tabela1[[#This Row],[Tag]],'Base de Dados'!$B$2:$C$64,2,0),"")</f>
        <v/>
      </c>
      <c r="U242" s="18" t="str">
        <f>IFERROR(VLOOKUP(Tabela1[[#This Row],[Tag]],'Base de Dados'!V242:W294,2,0),"")</f>
        <v/>
      </c>
      <c r="V242" s="18">
        <f>DAY(Tabela1[[#This Row],[Data]])</f>
        <v>30</v>
      </c>
      <c r="W242" s="18">
        <f>MONTH(Tabela1[[#This Row],[Data]])</f>
        <v>11</v>
      </c>
      <c r="X242" s="18">
        <f>YEAR(Tabela1[[#This Row],[Data]])</f>
        <v>2022</v>
      </c>
    </row>
    <row r="243" spans="1:24" hidden="1" x14ac:dyDescent="0.25">
      <c r="A243" s="22">
        <v>13143</v>
      </c>
      <c r="B243" s="21">
        <v>44895</v>
      </c>
      <c r="C243" s="23">
        <v>631</v>
      </c>
      <c r="D243" s="24"/>
      <c r="E243" s="24"/>
      <c r="F243" s="24"/>
      <c r="G243" s="18" t="str">
        <f>IFERROR(VLOOKUP(Tabela1[[#This Row],[Mat. 1]],'Base de Dados'!$I$5:$J$21,2,0),"")</f>
        <v>JOSINALDO</v>
      </c>
      <c r="H243" s="18" t="str">
        <f>IFERROR(VLOOKUP(Tabela1[[#This Row],[Mat. 2]],'Base de Dados'!$I$5:$J$21,2,0),"")</f>
        <v/>
      </c>
      <c r="I243" s="18" t="str">
        <f>IFERROR(VLOOKUP(Tabela1[[#This Row],[Mat. 3]],'Base de Dados'!$I$5:$J$21,2,0),"")</f>
        <v/>
      </c>
      <c r="J243" s="18" t="str">
        <f>IFERROR(VLOOKUP(Tabela1[[#This Row],[Mat. 4]],'Base de Dados'!$I$5:$J$21,2,0),"")</f>
        <v/>
      </c>
      <c r="K243" s="18" t="str">
        <f>IFERROR(VLOOKUP(Tabela1[[#This Row],[Mat. 1]],'Base de Dados'!$I$2:$M$21,5,0),"")</f>
        <v>2º</v>
      </c>
      <c r="L243" s="18" t="s">
        <v>523</v>
      </c>
      <c r="M243" s="18" t="s">
        <v>313</v>
      </c>
      <c r="N243" s="18" t="s">
        <v>558</v>
      </c>
      <c r="O243" s="18">
        <v>10</v>
      </c>
      <c r="P243" s="18">
        <v>0</v>
      </c>
      <c r="Q243" s="45" t="s">
        <v>524</v>
      </c>
      <c r="R243" s="18" t="s">
        <v>116</v>
      </c>
      <c r="S243" s="18" t="str">
        <f>IFERROR(VLOOKUP(Tabela1[[#This Row],[Cód. Causa]],'Base de Dados'!$O$2:$P$21,2,0),"")</f>
        <v xml:space="preserve">EQUIPAMENTO TRABALHANDO COM CARGA EXCESSIVA </v>
      </c>
      <c r="T243" s="18" t="str">
        <f>IFERROR(VLOOKUP(Tabela1[[#This Row],[Tag]],'Base de Dados'!$B$2:$C$64,2,0),"")</f>
        <v/>
      </c>
      <c r="U243" s="18" t="str">
        <f>IFERROR(VLOOKUP(Tabela1[[#This Row],[Tag]],'Base de Dados'!V243:W295,2,0),"")</f>
        <v/>
      </c>
      <c r="V243" s="18">
        <f>DAY(Tabela1[[#This Row],[Data]])</f>
        <v>30</v>
      </c>
      <c r="W243" s="18">
        <f>MONTH(Tabela1[[#This Row],[Data]])</f>
        <v>11</v>
      </c>
      <c r="X243" s="18">
        <f>YEAR(Tabela1[[#This Row],[Data]])</f>
        <v>2022</v>
      </c>
    </row>
    <row r="244" spans="1:24" hidden="1" x14ac:dyDescent="0.25">
      <c r="A244" s="22">
        <v>13144</v>
      </c>
      <c r="B244" s="21">
        <v>44895</v>
      </c>
      <c r="C244" s="23">
        <v>677</v>
      </c>
      <c r="D244" s="24"/>
      <c r="E244" s="24"/>
      <c r="F244" s="24"/>
      <c r="G244" s="18" t="str">
        <f>IFERROR(VLOOKUP(Tabela1[[#This Row],[Mat. 1]],'Base de Dados'!$I$5:$J$21,2,0),"")</f>
        <v>RAFAEL</v>
      </c>
      <c r="H244" s="18" t="str">
        <f>IFERROR(VLOOKUP(Tabela1[[#This Row],[Mat. 2]],'Base de Dados'!$I$5:$J$21,2,0),"")</f>
        <v/>
      </c>
      <c r="I244" s="18" t="str">
        <f>IFERROR(VLOOKUP(Tabela1[[#This Row],[Mat. 3]],'Base de Dados'!$I$5:$J$21,2,0),"")</f>
        <v/>
      </c>
      <c r="J244" s="18" t="str">
        <f>IFERROR(VLOOKUP(Tabela1[[#This Row],[Mat. 4]],'Base de Dados'!$I$5:$J$21,2,0),"")</f>
        <v/>
      </c>
      <c r="K244" s="18" t="str">
        <f>IFERROR(VLOOKUP(Tabela1[[#This Row],[Mat. 1]],'Base de Dados'!$I$2:$M$21,5,0),"")</f>
        <v>2º</v>
      </c>
      <c r="L244" s="18" t="s">
        <v>422</v>
      </c>
      <c r="M244" s="18" t="s">
        <v>316</v>
      </c>
      <c r="N244" s="18" t="s">
        <v>558</v>
      </c>
      <c r="O244" s="18">
        <v>15</v>
      </c>
      <c r="P244" s="18">
        <v>0</v>
      </c>
      <c r="Q244" s="45" t="s">
        <v>525</v>
      </c>
      <c r="R244" s="18" t="s">
        <v>116</v>
      </c>
      <c r="S244" s="18" t="str">
        <f>IFERROR(VLOOKUP(Tabela1[[#This Row],[Cód. Causa]],'Base de Dados'!$O$2:$P$21,2,0),"")</f>
        <v xml:space="preserve">EQUIPAMENTO TRABALHANDO COM CARGA EXCESSIVA </v>
      </c>
      <c r="T244" s="18" t="str">
        <f>IFERROR(VLOOKUP(Tabela1[[#This Row],[Tag]],'Base de Dados'!$B$2:$C$64,2,0),"")</f>
        <v/>
      </c>
      <c r="U244" s="18" t="str">
        <f>IFERROR(VLOOKUP(Tabela1[[#This Row],[Tag]],'Base de Dados'!V244:W296,2,0),"")</f>
        <v/>
      </c>
      <c r="V244" s="18">
        <f>DAY(Tabela1[[#This Row],[Data]])</f>
        <v>30</v>
      </c>
      <c r="W244" s="18">
        <f>MONTH(Tabela1[[#This Row],[Data]])</f>
        <v>11</v>
      </c>
      <c r="X244" s="18">
        <f>YEAR(Tabela1[[#This Row],[Data]])</f>
        <v>2022</v>
      </c>
    </row>
    <row r="245" spans="1:24" hidden="1" x14ac:dyDescent="0.25">
      <c r="A245" s="22">
        <v>13147</v>
      </c>
      <c r="B245" s="21">
        <v>44895</v>
      </c>
      <c r="C245" s="23">
        <v>592</v>
      </c>
      <c r="D245" s="24">
        <v>435</v>
      </c>
      <c r="E245" s="24"/>
      <c r="F245" s="24"/>
      <c r="G245" s="18" t="str">
        <f>IFERROR(VLOOKUP(Tabela1[[#This Row],[Mat. 1]],'Base de Dados'!$I$5:$J$21,2,0),"")</f>
        <v>CRISTIANO</v>
      </c>
      <c r="H245" s="18" t="str">
        <f>IFERROR(VLOOKUP(Tabela1[[#This Row],[Mat. 2]],'Base de Dados'!$I$5:$J$21,2,0),"")</f>
        <v>SILVIO</v>
      </c>
      <c r="I245" s="18" t="str">
        <f>IFERROR(VLOOKUP(Tabela1[[#This Row],[Mat. 3]],'Base de Dados'!$I$5:$J$21,2,0),"")</f>
        <v/>
      </c>
      <c r="J245" s="18" t="str">
        <f>IFERROR(VLOOKUP(Tabela1[[#This Row],[Mat. 4]],'Base de Dados'!$I$5:$J$21,2,0),"")</f>
        <v/>
      </c>
      <c r="K245" s="18" t="str">
        <f>IFERROR(VLOOKUP(Tabela1[[#This Row],[Mat. 1]],'Base de Dados'!$I$2:$M$21,5,0),"")</f>
        <v>1º</v>
      </c>
      <c r="L245" s="18" t="s">
        <v>141</v>
      </c>
      <c r="M245" s="18" t="s">
        <v>316</v>
      </c>
      <c r="N245" s="18" t="s">
        <v>558</v>
      </c>
      <c r="O245" s="18">
        <v>7</v>
      </c>
      <c r="P245" s="18">
        <v>0</v>
      </c>
      <c r="Q245" s="45" t="s">
        <v>526</v>
      </c>
      <c r="R245" s="18" t="s">
        <v>116</v>
      </c>
      <c r="S245" s="18" t="str">
        <f>IFERROR(VLOOKUP(Tabela1[[#This Row],[Cód. Causa]],'Base de Dados'!$O$2:$P$21,2,0),"")</f>
        <v xml:space="preserve">EQUIPAMENTO TRABALHANDO COM CARGA EXCESSIVA </v>
      </c>
      <c r="T245" s="18" t="str">
        <f>IFERROR(VLOOKUP(Tabela1[[#This Row],[Tag]],'Base de Dados'!$B$2:$C$64,2,0),"")</f>
        <v>CORTE DO TETO  - WATER JET 2</v>
      </c>
      <c r="U245" s="18" t="str">
        <f>IFERROR(VLOOKUP(Tabela1[[#This Row],[Tag]],'Base de Dados'!V245:W297,2,0),"")</f>
        <v/>
      </c>
      <c r="V245" s="18">
        <f>DAY(Tabela1[[#This Row],[Data]])</f>
        <v>30</v>
      </c>
      <c r="W245" s="18">
        <f>MONTH(Tabela1[[#This Row],[Data]])</f>
        <v>11</v>
      </c>
      <c r="X245" s="18">
        <f>YEAR(Tabela1[[#This Row],[Data]])</f>
        <v>2022</v>
      </c>
    </row>
    <row r="246" spans="1:24" hidden="1" x14ac:dyDescent="0.25">
      <c r="A246" s="22">
        <v>13186</v>
      </c>
      <c r="B246" s="21">
        <v>44895</v>
      </c>
      <c r="C246" s="23">
        <v>739</v>
      </c>
      <c r="D246" s="24">
        <v>721</v>
      </c>
      <c r="E246" s="24">
        <v>493</v>
      </c>
      <c r="F246" s="24"/>
      <c r="G246" s="18" t="str">
        <f>IFERROR(VLOOKUP(Tabela1[[#This Row],[Mat. 1]],'Base de Dados'!$I$5:$J$21,2,0),"")</f>
        <v>DANILLO</v>
      </c>
      <c r="H246" s="18" t="str">
        <f>IFERROR(VLOOKUP(Tabela1[[#This Row],[Mat. 2]],'Base de Dados'!$I$5:$J$21,2,0),"")</f>
        <v>GENILSON</v>
      </c>
      <c r="I246" s="18" t="str">
        <f>IFERROR(VLOOKUP(Tabela1[[#This Row],[Mat. 3]],'Base de Dados'!$I$5:$J$21,2,0),"")</f>
        <v>ELIAS</v>
      </c>
      <c r="J246" s="18" t="str">
        <f>IFERROR(VLOOKUP(Tabela1[[#This Row],[Mat. 4]],'Base de Dados'!$I$5:$J$21,2,0),"")</f>
        <v/>
      </c>
      <c r="K246" s="18" t="str">
        <f>IFERROR(VLOOKUP(Tabela1[[#This Row],[Mat. 1]],'Base de Dados'!$I$2:$M$21,5,0),"")</f>
        <v>1º</v>
      </c>
      <c r="L246" s="18" t="s">
        <v>179</v>
      </c>
      <c r="M246" s="18" t="s">
        <v>316</v>
      </c>
      <c r="N246" s="18" t="s">
        <v>558</v>
      </c>
      <c r="O246" s="18">
        <v>15</v>
      </c>
      <c r="P246" s="18">
        <v>0</v>
      </c>
      <c r="Q246" s="45" t="s">
        <v>527</v>
      </c>
      <c r="R246" s="18" t="s">
        <v>116</v>
      </c>
      <c r="S246" s="18" t="str">
        <f>IFERROR(VLOOKUP(Tabela1[[#This Row],[Cód. Causa]],'Base de Dados'!$O$2:$P$21,2,0),"")</f>
        <v xml:space="preserve">EQUIPAMENTO TRABALHANDO COM CARGA EXCESSIVA </v>
      </c>
      <c r="T246" s="18" t="str">
        <f>IFERROR(VLOOKUP(Tabela1[[#This Row],[Tag]],'Base de Dados'!$B$2:$C$64,2,0),"")</f>
        <v>PRENSA COM INJEÇÃO PU 2</v>
      </c>
      <c r="U246" s="18" t="str">
        <f>IFERROR(VLOOKUP(Tabela1[[#This Row],[Tag]],'Base de Dados'!V246:W298,2,0),"")</f>
        <v/>
      </c>
      <c r="V246" s="18">
        <f>DAY(Tabela1[[#This Row],[Data]])</f>
        <v>30</v>
      </c>
      <c r="W246" s="18">
        <f>MONTH(Tabela1[[#This Row],[Data]])</f>
        <v>11</v>
      </c>
      <c r="X246" s="18">
        <f>YEAR(Tabela1[[#This Row],[Data]])</f>
        <v>2022</v>
      </c>
    </row>
    <row r="247" spans="1:24" hidden="1" x14ac:dyDescent="0.25">
      <c r="A247" s="22">
        <v>13986</v>
      </c>
      <c r="B247" s="21">
        <v>44895</v>
      </c>
      <c r="C247" s="23">
        <v>739</v>
      </c>
      <c r="D247" s="24"/>
      <c r="E247" s="24"/>
      <c r="F247" s="24"/>
      <c r="G247" s="18" t="str">
        <f>IFERROR(VLOOKUP(Tabela1[[#This Row],[Mat. 1]],'Base de Dados'!$I$5:$J$21,2,0),"")</f>
        <v>DANILLO</v>
      </c>
      <c r="H247" s="18" t="str">
        <f>IFERROR(VLOOKUP(Tabela1[[#This Row],[Mat. 2]],'Base de Dados'!$I$5:$J$21,2,0),"")</f>
        <v/>
      </c>
      <c r="I247" s="18" t="str">
        <f>IFERROR(VLOOKUP(Tabela1[[#This Row],[Mat. 3]],'Base de Dados'!$I$5:$J$21,2,0),"")</f>
        <v/>
      </c>
      <c r="J247" s="18" t="str">
        <f>IFERROR(VLOOKUP(Tabela1[[#This Row],[Mat. 4]],'Base de Dados'!$I$5:$J$21,2,0),"")</f>
        <v/>
      </c>
      <c r="K247" s="18" t="str">
        <f>IFERROR(VLOOKUP(Tabela1[[#This Row],[Mat. 1]],'Base de Dados'!$I$2:$M$21,5,0),"")</f>
        <v>1º</v>
      </c>
      <c r="L247" s="18" t="s">
        <v>42</v>
      </c>
      <c r="M247" s="18" t="s">
        <v>313</v>
      </c>
      <c r="N247" s="18" t="s">
        <v>558</v>
      </c>
      <c r="O247" s="18">
        <v>25</v>
      </c>
      <c r="P247" s="18">
        <v>0</v>
      </c>
      <c r="Q247" s="45" t="s">
        <v>528</v>
      </c>
      <c r="R247" s="18" t="s">
        <v>116</v>
      </c>
      <c r="S247" s="18" t="str">
        <f>IFERROR(VLOOKUP(Tabela1[[#This Row],[Cód. Causa]],'Base de Dados'!$O$2:$P$21,2,0),"")</f>
        <v xml:space="preserve">EQUIPAMENTO TRABALHANDO COM CARGA EXCESSIVA </v>
      </c>
      <c r="T247" s="18" t="str">
        <f>IFERROR(VLOOKUP(Tabela1[[#This Row],[Tag]],'Base de Dados'!$B$2:$C$64,2,0),"")</f>
        <v>INJETORA</v>
      </c>
      <c r="U247" s="18" t="str">
        <f>IFERROR(VLOOKUP(Tabela1[[#This Row],[Tag]],'Base de Dados'!V247:W299,2,0),"")</f>
        <v/>
      </c>
      <c r="V247" s="18">
        <f>DAY(Tabela1[[#This Row],[Data]])</f>
        <v>30</v>
      </c>
      <c r="W247" s="18">
        <f>MONTH(Tabela1[[#This Row],[Data]])</f>
        <v>11</v>
      </c>
      <c r="X247" s="18">
        <f>YEAR(Tabela1[[#This Row],[Data]])</f>
        <v>2022</v>
      </c>
    </row>
    <row r="248" spans="1:24" hidden="1" x14ac:dyDescent="0.25">
      <c r="A248" s="22">
        <v>13987</v>
      </c>
      <c r="B248" s="21">
        <v>44895</v>
      </c>
      <c r="C248" s="23">
        <v>739</v>
      </c>
      <c r="D248" s="24">
        <v>721</v>
      </c>
      <c r="E248" s="24">
        <v>493</v>
      </c>
      <c r="F248" s="24"/>
      <c r="G248" s="18" t="str">
        <f>IFERROR(VLOOKUP(Tabela1[[#This Row],[Mat. 1]],'Base de Dados'!$I$5:$J$21,2,0),"")</f>
        <v>DANILLO</v>
      </c>
      <c r="H248" s="18" t="str">
        <f>IFERROR(VLOOKUP(Tabela1[[#This Row],[Mat. 2]],'Base de Dados'!$I$5:$J$21,2,0),"")</f>
        <v>GENILSON</v>
      </c>
      <c r="I248" s="18" t="str">
        <f>IFERROR(VLOOKUP(Tabela1[[#This Row],[Mat. 3]],'Base de Dados'!$I$5:$J$21,2,0),"")</f>
        <v>ELIAS</v>
      </c>
      <c r="J248" s="18" t="str">
        <f>IFERROR(VLOOKUP(Tabela1[[#This Row],[Mat. 4]],'Base de Dados'!$I$5:$J$21,2,0),"")</f>
        <v/>
      </c>
      <c r="K248" s="18" t="str">
        <f>IFERROR(VLOOKUP(Tabela1[[#This Row],[Mat. 1]],'Base de Dados'!$I$2:$M$21,5,0),"")</f>
        <v>1º</v>
      </c>
      <c r="L248" s="18" t="s">
        <v>73</v>
      </c>
      <c r="M248" s="18" t="s">
        <v>313</v>
      </c>
      <c r="N248" s="18" t="s">
        <v>558</v>
      </c>
      <c r="O248" s="18">
        <v>15</v>
      </c>
      <c r="P248" s="18">
        <v>0</v>
      </c>
      <c r="Q248" s="45" t="s">
        <v>529</v>
      </c>
      <c r="R248" s="18" t="s">
        <v>116</v>
      </c>
      <c r="S248" s="18" t="str">
        <f>IFERROR(VLOOKUP(Tabela1[[#This Row],[Cód. Causa]],'Base de Dados'!$O$2:$P$21,2,0),"")</f>
        <v xml:space="preserve">EQUIPAMENTO TRABALHANDO COM CARGA EXCESSIVA </v>
      </c>
      <c r="T248" s="18" t="str">
        <f>IFERROR(VLOOKUP(Tabela1[[#This Row],[Tag]],'Base de Dados'!$B$2:$C$64,2,0),"")</f>
        <v>PRENSA COM INJEÇÃO PU INNER 02</v>
      </c>
      <c r="U248" s="18" t="str">
        <f>IFERROR(VLOOKUP(Tabela1[[#This Row],[Tag]],'Base de Dados'!V248:W300,2,0),"")</f>
        <v/>
      </c>
      <c r="V248" s="18">
        <f>DAY(Tabela1[[#This Row],[Data]])</f>
        <v>30</v>
      </c>
      <c r="W248" s="18">
        <f>MONTH(Tabela1[[#This Row],[Data]])</f>
        <v>11</v>
      </c>
      <c r="X248" s="18">
        <f>YEAR(Tabela1[[#This Row],[Data]])</f>
        <v>2022</v>
      </c>
    </row>
    <row r="249" spans="1:24" hidden="1" x14ac:dyDescent="0.25">
      <c r="A249" s="22">
        <v>15014</v>
      </c>
      <c r="B249" s="21">
        <v>44895</v>
      </c>
      <c r="C249" s="23">
        <v>73</v>
      </c>
      <c r="D249" s="24">
        <v>444</v>
      </c>
      <c r="E249" s="24"/>
      <c r="F249" s="24"/>
      <c r="G249" s="18" t="str">
        <f>IFERROR(VLOOKUP(Tabela1[[#This Row],[Mat. 1]],'Base de Dados'!$I$5:$J$21,2,0),"")</f>
        <v>VALDEMAR</v>
      </c>
      <c r="H249" s="18" t="str">
        <f>IFERROR(VLOOKUP(Tabela1[[#This Row],[Mat. 2]],'Base de Dados'!$I$5:$J$21,2,0),"")</f>
        <v>EDUARDO</v>
      </c>
      <c r="I249" s="18" t="str">
        <f>IFERROR(VLOOKUP(Tabela1[[#This Row],[Mat. 3]],'Base de Dados'!$I$5:$J$21,2,0),"")</f>
        <v/>
      </c>
      <c r="J249" s="18" t="str">
        <f>IFERROR(VLOOKUP(Tabela1[[#This Row],[Mat. 4]],'Base de Dados'!$I$5:$J$21,2,0),"")</f>
        <v/>
      </c>
      <c r="K249" s="18" t="str">
        <f>IFERROR(VLOOKUP(Tabela1[[#This Row],[Mat. 1]],'Base de Dados'!$I$2:$M$21,5,0),"")</f>
        <v>3º</v>
      </c>
      <c r="L249" s="18" t="s">
        <v>183</v>
      </c>
      <c r="M249" s="18" t="s">
        <v>316</v>
      </c>
      <c r="N249" s="18" t="s">
        <v>558</v>
      </c>
      <c r="O249" s="18">
        <v>20</v>
      </c>
      <c r="P249" s="18">
        <v>0</v>
      </c>
      <c r="Q249" s="45" t="s">
        <v>530</v>
      </c>
      <c r="R249" s="18" t="s">
        <v>116</v>
      </c>
      <c r="S249" s="18" t="str">
        <f>IFERROR(VLOOKUP(Tabela1[[#This Row],[Cód. Causa]],'Base de Dados'!$O$2:$P$21,2,0),"")</f>
        <v xml:space="preserve">EQUIPAMENTO TRABALHANDO COM CARGA EXCESSIVA </v>
      </c>
      <c r="T249" s="18" t="str">
        <f>IFERROR(VLOOKUP(Tabela1[[#This Row],[Tag]],'Base de Dados'!$B$2:$C$64,2,0),"")</f>
        <v>INJETORA CARPETE</v>
      </c>
      <c r="U249" s="18" t="str">
        <f>IFERROR(VLOOKUP(Tabela1[[#This Row],[Tag]],'Base de Dados'!V249:W301,2,0),"")</f>
        <v/>
      </c>
      <c r="V249" s="18">
        <f>DAY(Tabela1[[#This Row],[Data]])</f>
        <v>30</v>
      </c>
      <c r="W249" s="18">
        <f>MONTH(Tabela1[[#This Row],[Data]])</f>
        <v>11</v>
      </c>
      <c r="X249" s="18">
        <f>YEAR(Tabela1[[#This Row],[Data]])</f>
        <v>2022</v>
      </c>
    </row>
    <row r="250" spans="1:24" hidden="1" x14ac:dyDescent="0.25">
      <c r="A250" s="22">
        <v>15015</v>
      </c>
      <c r="B250" s="21">
        <v>44895</v>
      </c>
      <c r="C250" s="23">
        <v>73</v>
      </c>
      <c r="D250" s="24">
        <v>782</v>
      </c>
      <c r="E250" s="24"/>
      <c r="F250" s="24"/>
      <c r="G250" s="18" t="str">
        <f>IFERROR(VLOOKUP(Tabela1[[#This Row],[Mat. 1]],'Base de Dados'!$I$5:$J$21,2,0),"")</f>
        <v>VALDEMAR</v>
      </c>
      <c r="H250" s="18" t="str">
        <f>IFERROR(VLOOKUP(Tabela1[[#This Row],[Mat. 2]],'Base de Dados'!$I$5:$J$21,2,0),"")</f>
        <v>JOSÉ</v>
      </c>
      <c r="I250" s="18" t="str">
        <f>IFERROR(VLOOKUP(Tabela1[[#This Row],[Mat. 3]],'Base de Dados'!$I$5:$J$21,2,0),"")</f>
        <v/>
      </c>
      <c r="J250" s="18" t="str">
        <f>IFERROR(VLOOKUP(Tabela1[[#This Row],[Mat. 4]],'Base de Dados'!$I$5:$J$21,2,0),"")</f>
        <v/>
      </c>
      <c r="K250" s="18" t="str">
        <f>IFERROR(VLOOKUP(Tabela1[[#This Row],[Mat. 1]],'Base de Dados'!$I$2:$M$21,5,0),"")</f>
        <v>3º</v>
      </c>
      <c r="L250" s="18" t="s">
        <v>185</v>
      </c>
      <c r="M250" s="18" t="s">
        <v>316</v>
      </c>
      <c r="N250" s="18" t="s">
        <v>558</v>
      </c>
      <c r="O250" s="18">
        <v>16</v>
      </c>
      <c r="P250" s="18">
        <v>0</v>
      </c>
      <c r="Q250" s="45" t="s">
        <v>531</v>
      </c>
      <c r="R250" s="18" t="s">
        <v>116</v>
      </c>
      <c r="S250" s="18" t="str">
        <f>IFERROR(VLOOKUP(Tabela1[[#This Row],[Cód. Causa]],'Base de Dados'!$O$2:$P$21,2,0),"")</f>
        <v xml:space="preserve">EQUIPAMENTO TRABALHANDO COM CARGA EXCESSIVA </v>
      </c>
      <c r="T250" s="18" t="str">
        <f>IFERROR(VLOOKUP(Tabela1[[#This Row],[Tag]],'Base de Dados'!$B$2:$C$64,2,0),"")</f>
        <v>CORTE DO CARPETE- WATER JET</v>
      </c>
      <c r="U250" s="18" t="str">
        <f>IFERROR(VLOOKUP(Tabela1[[#This Row],[Tag]],'Base de Dados'!V250:W302,2,0),"")</f>
        <v/>
      </c>
      <c r="V250" s="18">
        <f>DAY(Tabela1[[#This Row],[Data]])</f>
        <v>30</v>
      </c>
      <c r="W250" s="18">
        <f>MONTH(Tabela1[[#This Row],[Data]])</f>
        <v>11</v>
      </c>
      <c r="X250" s="18">
        <f>YEAR(Tabela1[[#This Row],[Data]])</f>
        <v>2022</v>
      </c>
    </row>
    <row r="251" spans="1:24" hidden="1" x14ac:dyDescent="0.25">
      <c r="A251" s="22">
        <v>15016</v>
      </c>
      <c r="B251" s="21">
        <v>44895</v>
      </c>
      <c r="C251" s="23">
        <v>782</v>
      </c>
      <c r="D251" s="24"/>
      <c r="E251" s="24"/>
      <c r="F251" s="24"/>
      <c r="G251" s="18" t="str">
        <f>IFERROR(VLOOKUP(Tabela1[[#This Row],[Mat. 1]],'Base de Dados'!$I$5:$J$21,2,0),"")</f>
        <v>JOSÉ</v>
      </c>
      <c r="H251" s="18" t="str">
        <f>IFERROR(VLOOKUP(Tabela1[[#This Row],[Mat. 2]],'Base de Dados'!$I$5:$J$21,2,0),"")</f>
        <v/>
      </c>
      <c r="I251" s="18" t="str">
        <f>IFERROR(VLOOKUP(Tabela1[[#This Row],[Mat. 3]],'Base de Dados'!$I$5:$J$21,2,0),"")</f>
        <v/>
      </c>
      <c r="J251" s="18" t="str">
        <f>IFERROR(VLOOKUP(Tabela1[[#This Row],[Mat. 4]],'Base de Dados'!$I$5:$J$21,2,0),"")</f>
        <v/>
      </c>
      <c r="K251" s="18" t="str">
        <f>IFERROR(VLOOKUP(Tabela1[[#This Row],[Mat. 1]],'Base de Dados'!$I$2:$M$21,5,0),"")</f>
        <v>3º</v>
      </c>
      <c r="L251" s="18" t="s">
        <v>177</v>
      </c>
      <c r="M251" s="18" t="s">
        <v>313</v>
      </c>
      <c r="N251" s="18" t="s">
        <v>558</v>
      </c>
      <c r="O251" s="18">
        <v>5</v>
      </c>
      <c r="P251" s="18">
        <v>0</v>
      </c>
      <c r="Q251" s="45" t="s">
        <v>532</v>
      </c>
      <c r="R251" s="18" t="s">
        <v>34</v>
      </c>
      <c r="S251" s="18" t="str">
        <f>IFERROR(VLOOKUP(Tabela1[[#This Row],[Cód. Causa]],'Base de Dados'!$O$2:$P$21,2,0),"")</f>
        <v>FALHA EM COMPONENTES ELETRONICO</v>
      </c>
      <c r="T251" s="18" t="str">
        <f>IFERROR(VLOOKUP(Tabela1[[#This Row],[Tag]],'Base de Dados'!$B$2:$C$64,2,0),"")</f>
        <v>PRENSA COM INJEÇÃO PU 1</v>
      </c>
      <c r="U251" s="18" t="str">
        <f>IFERROR(VLOOKUP(Tabela1[[#This Row],[Tag]],'Base de Dados'!V251:W303,2,0),"")</f>
        <v/>
      </c>
      <c r="V251" s="18">
        <f>DAY(Tabela1[[#This Row],[Data]])</f>
        <v>30</v>
      </c>
      <c r="W251" s="18">
        <f>MONTH(Tabela1[[#This Row],[Data]])</f>
        <v>11</v>
      </c>
      <c r="X251" s="18">
        <f>YEAR(Tabela1[[#This Row],[Data]])</f>
        <v>2022</v>
      </c>
    </row>
    <row r="252" spans="1:24" hidden="1" x14ac:dyDescent="0.25">
      <c r="A252" s="43">
        <v>1245</v>
      </c>
      <c r="B252" s="21">
        <v>44942</v>
      </c>
      <c r="C252" s="23">
        <v>185</v>
      </c>
      <c r="D252" s="24">
        <v>15</v>
      </c>
      <c r="E252" s="24"/>
      <c r="F252" s="24"/>
      <c r="G252" s="18" t="str">
        <f>IFERROR(VLOOKUP(Tabela1[[#This Row],[Mat. 1]],'Base de Dados'!$I$5:$J$21,2,0),"")</f>
        <v>FELIPE</v>
      </c>
      <c r="H252" s="18" t="str">
        <f>IFERROR(VLOOKUP(Tabela1[[#This Row],[Mat. 2]],'Base de Dados'!$I$5:$J$21,2,0),"")</f>
        <v>ROBERT</v>
      </c>
      <c r="I252" s="18" t="str">
        <f>IFERROR(VLOOKUP(Tabela1[[#This Row],[Mat. 3]],'Base de Dados'!$I$5:$J$21,2,0),"")</f>
        <v/>
      </c>
      <c r="J252" s="18" t="str">
        <f>IFERROR(VLOOKUP(Tabela1[[#This Row],[Mat. 4]],'Base de Dados'!$I$5:$J$21,2,0),"")</f>
        <v/>
      </c>
      <c r="K252" s="18" t="str">
        <f>IFERROR(VLOOKUP(Tabela1[[#This Row],[Mat. 1]],'Base de Dados'!$I$2:$M$21,5,0),"")</f>
        <v>1º</v>
      </c>
      <c r="L252" s="18" t="s">
        <v>172</v>
      </c>
      <c r="M252" s="18" t="s">
        <v>255</v>
      </c>
      <c r="N252" s="18" t="s">
        <v>257</v>
      </c>
      <c r="O252" s="18">
        <v>0</v>
      </c>
      <c r="P252" s="18">
        <v>15</v>
      </c>
      <c r="Q252" s="45" t="s">
        <v>257</v>
      </c>
      <c r="R252" s="18" t="s">
        <v>57</v>
      </c>
      <c r="S252" s="18" t="str">
        <f>IFERROR(VLOOKUP(Tabela1[[#This Row],[Cód. Causa]],'Base de Dados'!$O$2:$P$21,2,0),"")</f>
        <v>FALTA DE CONHECIMENTO DO OPERADOR</v>
      </c>
      <c r="T252" s="18" t="str">
        <f>IFERROR(VLOOKUP(Tabela1[[#This Row],[Tag]],'Base de Dados'!$B$2:$C$64,2,0),"")</f>
        <v>PRENSA DE MOLDAGEM CARPETE</v>
      </c>
      <c r="U252" s="18" t="str">
        <f>IFERROR(VLOOKUP(Tabela1[[#This Row],[Tag]],'Base de Dados'!V252:W304,2,0),"")</f>
        <v/>
      </c>
      <c r="V252" s="18">
        <f>DAY(Tabela1[[#This Row],[Data]])</f>
        <v>16</v>
      </c>
      <c r="W252" s="18">
        <f>MONTH(Tabela1[[#This Row],[Data]])</f>
        <v>1</v>
      </c>
      <c r="X252" s="18">
        <f>YEAR(Tabela1[[#This Row],[Data]])</f>
        <v>2023</v>
      </c>
    </row>
    <row r="253" spans="1:24" hidden="1" x14ac:dyDescent="0.25">
      <c r="A253" s="43" t="s">
        <v>560</v>
      </c>
      <c r="B253" s="21">
        <v>44958</v>
      </c>
      <c r="C253" s="23">
        <v>15</v>
      </c>
      <c r="D253" s="24">
        <v>185</v>
      </c>
      <c r="E253" s="24"/>
      <c r="F253" s="24"/>
      <c r="G253" s="18" t="str">
        <f>IFERROR(VLOOKUP(Tabela1[[#This Row],[Mat. 1]],'Base de Dados'!$I$5:$J$21,2,0),"")</f>
        <v>ROBERT</v>
      </c>
      <c r="H253" s="18" t="str">
        <f>IFERROR(VLOOKUP(Tabela1[[#This Row],[Mat. 2]],'Base de Dados'!$I$5:$J$21,2,0),"")</f>
        <v>FELIPE</v>
      </c>
      <c r="I253" s="18" t="str">
        <f>IFERROR(VLOOKUP(Tabela1[[#This Row],[Mat. 3]],'Base de Dados'!$I$5:$J$21,2,0),"")</f>
        <v/>
      </c>
      <c r="J253" s="18" t="str">
        <f>IFERROR(VLOOKUP(Tabela1[[#This Row],[Mat. 4]],'Base de Dados'!$I$5:$J$21,2,0),"")</f>
        <v/>
      </c>
      <c r="K253" s="18" t="str">
        <f>IFERROR(VLOOKUP(Tabela1[[#This Row],[Mat. 1]],'Base de Dados'!$I$2:$M$21,5,0),"")</f>
        <v>1º</v>
      </c>
      <c r="L253" s="18" t="s">
        <v>185</v>
      </c>
      <c r="M253" s="18" t="s">
        <v>255</v>
      </c>
      <c r="N253" s="18" t="s">
        <v>257</v>
      </c>
      <c r="O253" s="18">
        <v>0</v>
      </c>
      <c r="P253" s="18">
        <v>30</v>
      </c>
      <c r="Q253" s="45" t="s">
        <v>561</v>
      </c>
      <c r="R253" s="18" t="s">
        <v>19</v>
      </c>
      <c r="S253" s="18" t="str">
        <f>IFERROR(VLOOKUP(Tabela1[[#This Row],[Cód. Causa]],'Base de Dados'!$O$2:$P$21,2,0),"")</f>
        <v>INFLUENCIA EXTERNA</v>
      </c>
      <c r="T253" s="18" t="str">
        <f>IFERROR(VLOOKUP(Tabela1[[#This Row],[Tag]],'Base de Dados'!$B$2:$C$64,2,0),"")</f>
        <v>CORTE DO CARPETE- WATER JET</v>
      </c>
      <c r="U253" s="18" t="str">
        <f>IFERROR(VLOOKUP(Tabela1[[#This Row],[Tag]],'Base de Dados'!V253:W305,2,0),"")</f>
        <v/>
      </c>
      <c r="V253" s="18">
        <f>DAY(Tabela1[[#This Row],[Data]])</f>
        <v>1</v>
      </c>
      <c r="W253" s="18">
        <f>MONTH(Tabela1[[#This Row],[Data]])</f>
        <v>2</v>
      </c>
      <c r="X253" s="18">
        <f>YEAR(Tabela1[[#This Row],[Data]])</f>
        <v>2023</v>
      </c>
    </row>
    <row r="254" spans="1:24" hidden="1" x14ac:dyDescent="0.25">
      <c r="A254" s="47" t="s">
        <v>562</v>
      </c>
      <c r="B254" s="21">
        <v>44938</v>
      </c>
      <c r="C254" s="23">
        <v>15</v>
      </c>
      <c r="D254" s="24">
        <v>185</v>
      </c>
      <c r="E254" s="24"/>
      <c r="F254" s="24"/>
      <c r="G254" s="18" t="str">
        <f>IFERROR(VLOOKUP(Tabela1[[#This Row],[Mat. 1]],'Base de Dados'!$I$5:$J$21,2,0),"")</f>
        <v>ROBERT</v>
      </c>
      <c r="H254" s="18" t="str">
        <f>IFERROR(VLOOKUP(Tabela1[[#This Row],[Mat. 2]],'Base de Dados'!$I$5:$J$21,2,0),"")</f>
        <v>FELIPE</v>
      </c>
      <c r="I254" s="18" t="str">
        <f>IFERROR(VLOOKUP(Tabela1[[#This Row],[Mat. 3]],'Base de Dados'!$I$5:$J$21,2,0),"")</f>
        <v/>
      </c>
      <c r="J254" s="18" t="str">
        <f>IFERROR(VLOOKUP(Tabela1[[#This Row],[Mat. 4]],'Base de Dados'!$I$5:$J$21,2,0),"")</f>
        <v/>
      </c>
      <c r="K254" s="18" t="str">
        <f>IFERROR(VLOOKUP(Tabela1[[#This Row],[Mat. 1]],'Base de Dados'!$I$2:$M$21,5,0),"")</f>
        <v>1º</v>
      </c>
      <c r="L254" s="18" t="s">
        <v>240</v>
      </c>
      <c r="M254" s="18" t="s">
        <v>255</v>
      </c>
      <c r="N254" s="48" t="s">
        <v>257</v>
      </c>
      <c r="O254" s="48">
        <v>0</v>
      </c>
      <c r="P254" s="18">
        <v>15</v>
      </c>
      <c r="Q254" s="45" t="s">
        <v>563</v>
      </c>
      <c r="R254" s="18" t="s">
        <v>19</v>
      </c>
      <c r="S254" s="18" t="str">
        <f>IFERROR(VLOOKUP(Tabela1[[#This Row],[Cód. Causa]],'Base de Dados'!$O$2:$P$21,2,0),"")</f>
        <v>INFLUENCIA EXTERNA</v>
      </c>
      <c r="T254" s="18" t="str">
        <f>IFERROR(VLOOKUP(Tabela1[[#This Row],[Tag]],'Base de Dados'!$B$2:$C$64,2,0),"")</f>
        <v/>
      </c>
      <c r="U254" s="18" t="str">
        <f>IFERROR(VLOOKUP(Tabela1[[#This Row],[Tag]],'Base de Dados'!V254:W306,2,0),"")</f>
        <v/>
      </c>
      <c r="V254" s="48">
        <f>DAY(Tabela1[[#This Row],[Data]])</f>
        <v>12</v>
      </c>
      <c r="W254" s="48">
        <f>MONTH(Tabela1[[#This Row],[Data]])</f>
        <v>1</v>
      </c>
      <c r="X254" s="48">
        <f>YEAR(Tabela1[[#This Row],[Data]])</f>
        <v>2023</v>
      </c>
    </row>
    <row r="255" spans="1:24" hidden="1" x14ac:dyDescent="0.25">
      <c r="A255" s="47" t="s">
        <v>564</v>
      </c>
      <c r="B255" s="21">
        <v>44947</v>
      </c>
      <c r="C255" s="23">
        <v>185</v>
      </c>
      <c r="D255" s="24">
        <v>435</v>
      </c>
      <c r="E255" s="24"/>
      <c r="F255" s="24"/>
      <c r="G255" s="18" t="str">
        <f>IFERROR(VLOOKUP(Tabela1[[#This Row],[Mat. 1]],'Base de Dados'!$I$5:$J$21,2,0),"")</f>
        <v>FELIPE</v>
      </c>
      <c r="H255" s="18" t="str">
        <f>IFERROR(VLOOKUP(Tabela1[[#This Row],[Mat. 2]],'Base de Dados'!$I$5:$J$21,2,0),"")</f>
        <v>SILVIO</v>
      </c>
      <c r="I255" s="18" t="str">
        <f>IFERROR(VLOOKUP(Tabela1[[#This Row],[Mat. 3]],'Base de Dados'!$I$5:$J$21,2,0),"")</f>
        <v/>
      </c>
      <c r="J255" s="18" t="str">
        <f>IFERROR(VLOOKUP(Tabela1[[#This Row],[Mat. 4]],'Base de Dados'!$I$5:$J$21,2,0),"")</f>
        <v/>
      </c>
      <c r="K255" s="18" t="str">
        <f>IFERROR(VLOOKUP(Tabela1[[#This Row],[Mat. 1]],'Base de Dados'!$I$2:$M$21,5,0),"")</f>
        <v>1º</v>
      </c>
      <c r="L255" s="18" t="s">
        <v>240</v>
      </c>
      <c r="M255" s="18" t="s">
        <v>255</v>
      </c>
      <c r="N255" s="48" t="s">
        <v>257</v>
      </c>
      <c r="O255" s="48">
        <v>0</v>
      </c>
      <c r="P255" s="18">
        <v>30</v>
      </c>
      <c r="Q255" s="45" t="s">
        <v>257</v>
      </c>
      <c r="R255" s="18" t="s">
        <v>19</v>
      </c>
      <c r="S255" s="18" t="str">
        <f>IFERROR(VLOOKUP(Tabela1[[#This Row],[Cód. Causa]],'Base de Dados'!$O$2:$P$21,2,0),"")</f>
        <v>INFLUENCIA EXTERNA</v>
      </c>
      <c r="T255" s="18" t="str">
        <f>IFERROR(VLOOKUP(Tabela1[[#This Row],[Tag]],'Base de Dados'!$B$2:$C$64,2,0),"")</f>
        <v/>
      </c>
      <c r="U255" s="18" t="str">
        <f>IFERROR(VLOOKUP(Tabela1[[#This Row],[Tag]],'Base de Dados'!V255:W307,2,0),"")</f>
        <v/>
      </c>
      <c r="V255" s="48">
        <f>DAY(Tabela1[[#This Row],[Data]])</f>
        <v>21</v>
      </c>
      <c r="W255" s="48">
        <f>MONTH(Tabela1[[#This Row],[Data]])</f>
        <v>1</v>
      </c>
      <c r="X255" s="48">
        <f>YEAR(Tabela1[[#This Row],[Data]])</f>
        <v>2023</v>
      </c>
    </row>
    <row r="256" spans="1:24" hidden="1" x14ac:dyDescent="0.25">
      <c r="A256" s="47">
        <v>45898</v>
      </c>
      <c r="B256" s="21">
        <v>44613</v>
      </c>
      <c r="C256" s="23">
        <v>15</v>
      </c>
      <c r="D256" s="24">
        <v>185</v>
      </c>
      <c r="E256" s="24"/>
      <c r="F256" s="24"/>
      <c r="G256" s="18" t="str">
        <f>IFERROR(VLOOKUP(Tabela1[[#This Row],[Mat. 1]],'Base de Dados'!$I$5:$J$21,2,0),"")</f>
        <v>ROBERT</v>
      </c>
      <c r="H256" s="18" t="str">
        <f>IFERROR(VLOOKUP(Tabela1[[#This Row],[Mat. 2]],'Base de Dados'!$I$5:$J$21,2,0),"")</f>
        <v>FELIPE</v>
      </c>
      <c r="I256" s="18" t="str">
        <f>IFERROR(VLOOKUP(Tabela1[[#This Row],[Mat. 3]],'Base de Dados'!$I$5:$J$21,2,0),"")</f>
        <v/>
      </c>
      <c r="J256" s="18" t="str">
        <f>IFERROR(VLOOKUP(Tabela1[[#This Row],[Mat. 4]],'Base de Dados'!$I$5:$J$21,2,0),"")</f>
        <v/>
      </c>
      <c r="K256" s="18" t="str">
        <f>IFERROR(VLOOKUP(Tabela1[[#This Row],[Mat. 1]],'Base de Dados'!$I$2:$M$21,5,0),"")</f>
        <v>1º</v>
      </c>
      <c r="L256" s="18" t="s">
        <v>172</v>
      </c>
      <c r="M256" s="18" t="s">
        <v>255</v>
      </c>
      <c r="N256" s="48" t="s">
        <v>558</v>
      </c>
      <c r="O256" s="48">
        <v>45</v>
      </c>
      <c r="P256" s="18">
        <v>0</v>
      </c>
      <c r="Q256" s="45" t="s">
        <v>260</v>
      </c>
      <c r="R256" s="18" t="s">
        <v>116</v>
      </c>
      <c r="S256" s="18" t="str">
        <f>IFERROR(VLOOKUP(Tabela1[[#This Row],[Cód. Causa]],'Base de Dados'!$O$2:$P$21,2,0),"")</f>
        <v xml:space="preserve">EQUIPAMENTO TRABALHANDO COM CARGA EXCESSIVA </v>
      </c>
      <c r="T256" s="18" t="str">
        <f>IFERROR(VLOOKUP(Tabela1[[#This Row],[Tag]],'Base de Dados'!$B$2:$C$64,2,0),"")</f>
        <v>PRENSA DE MOLDAGEM CARPETE</v>
      </c>
      <c r="U256" s="18" t="str">
        <f>IFERROR(VLOOKUP(Tabela1[[#This Row],[Tag]],'Base de Dados'!V256:W308,2,0),"")</f>
        <v/>
      </c>
      <c r="V256" s="48">
        <f>DAY(Tabela1[[#This Row],[Data]])</f>
        <v>21</v>
      </c>
      <c r="W256" s="48">
        <f>MONTH(Tabela1[[#This Row],[Data]])</f>
        <v>2</v>
      </c>
      <c r="X256" s="48">
        <f>YEAR(Tabela1[[#This Row],[Data]])</f>
        <v>2022</v>
      </c>
    </row>
    <row r="257" spans="1:24" hidden="1" x14ac:dyDescent="0.25">
      <c r="A257" s="47" t="s">
        <v>565</v>
      </c>
      <c r="B257" s="21">
        <v>44613</v>
      </c>
      <c r="C257" s="23">
        <v>185</v>
      </c>
      <c r="D257" s="24">
        <v>592</v>
      </c>
      <c r="E257" s="24"/>
      <c r="F257" s="24"/>
      <c r="G257" s="18" t="str">
        <f>IFERROR(VLOOKUP(Tabela1[[#This Row],[Mat. 1]],'Base de Dados'!$I$5:$J$21,2,0),"")</f>
        <v>FELIPE</v>
      </c>
      <c r="H257" s="18" t="str">
        <f>IFERROR(VLOOKUP(Tabela1[[#This Row],[Mat. 2]],'Base de Dados'!$I$5:$J$21,2,0),"")</f>
        <v>CRISTIANO</v>
      </c>
      <c r="I257" s="18" t="str">
        <f>IFERROR(VLOOKUP(Tabela1[[#This Row],[Mat. 3]],'Base de Dados'!$I$5:$J$21,2,0),"")</f>
        <v/>
      </c>
      <c r="J257" s="18" t="str">
        <f>IFERROR(VLOOKUP(Tabela1[[#This Row],[Mat. 4]],'Base de Dados'!$I$5:$J$21,2,0),"")</f>
        <v/>
      </c>
      <c r="K257" s="18" t="str">
        <f>IFERROR(VLOOKUP(Tabela1[[#This Row],[Mat. 1]],'Base de Dados'!$I$2:$M$21,5,0),"")</f>
        <v>1º</v>
      </c>
      <c r="L257" s="18" t="s">
        <v>172</v>
      </c>
      <c r="M257" s="18" t="s">
        <v>255</v>
      </c>
      <c r="N257" s="48" t="s">
        <v>257</v>
      </c>
      <c r="O257" s="48">
        <v>0</v>
      </c>
      <c r="P257" s="18">
        <v>30</v>
      </c>
      <c r="Q257" s="45" t="s">
        <v>257</v>
      </c>
      <c r="R257" s="18" t="s">
        <v>19</v>
      </c>
      <c r="S257" s="18" t="str">
        <f>IFERROR(VLOOKUP(Tabela1[[#This Row],[Cód. Causa]],'Base de Dados'!$O$2:$P$21,2,0),"")</f>
        <v>INFLUENCIA EXTERNA</v>
      </c>
      <c r="T257" s="18" t="str">
        <f>IFERROR(VLOOKUP(Tabela1[[#This Row],[Tag]],'Base de Dados'!$B$2:$C$64,2,0),"")</f>
        <v>PRENSA DE MOLDAGEM CARPETE</v>
      </c>
      <c r="U257" s="18" t="str">
        <f>IFERROR(VLOOKUP(Tabela1[[#This Row],[Tag]],'Base de Dados'!V257:W309,2,0),"")</f>
        <v/>
      </c>
      <c r="V257" s="48">
        <f>DAY(Tabela1[[#This Row],[Data]])</f>
        <v>21</v>
      </c>
      <c r="W257" s="48">
        <f>MONTH(Tabela1[[#This Row],[Data]])</f>
        <v>2</v>
      </c>
      <c r="X257" s="48">
        <f>YEAR(Tabela1[[#This Row],[Data]])</f>
        <v>2022</v>
      </c>
    </row>
    <row r="258" spans="1:24" hidden="1" x14ac:dyDescent="0.25">
      <c r="A258" s="59">
        <v>12456</v>
      </c>
      <c r="B258" s="21">
        <v>44978</v>
      </c>
      <c r="C258" s="23">
        <v>15</v>
      </c>
      <c r="D258" s="24">
        <v>185</v>
      </c>
      <c r="E258" s="24"/>
      <c r="F258" s="24"/>
      <c r="G258" s="18" t="str">
        <f>IFERROR(VLOOKUP(Tabela1[[#This Row],[Mat. 1]],'Base de Dados'!$I$5:$J$21,2,0),"")</f>
        <v>ROBERT</v>
      </c>
      <c r="H258" s="18" t="str">
        <f>IFERROR(VLOOKUP(Tabela1[[#This Row],[Mat. 2]],'Base de Dados'!$I$5:$J$21,2,0),"")</f>
        <v>FELIPE</v>
      </c>
      <c r="I258" s="18" t="str">
        <f>IFERROR(VLOOKUP(Tabela1[[#This Row],[Mat. 3]],'Base de Dados'!$I$5:$J$21,2,0),"")</f>
        <v/>
      </c>
      <c r="J258" s="18" t="str">
        <f>IFERROR(VLOOKUP(Tabela1[[#This Row],[Mat. 4]],'Base de Dados'!$I$5:$J$21,2,0),"")</f>
        <v/>
      </c>
      <c r="K258" s="18" t="str">
        <f>IFERROR(VLOOKUP(Tabela1[[#This Row],[Mat. 1]],'Base de Dados'!$I$2:$M$21,5,0),"")</f>
        <v>1º</v>
      </c>
      <c r="L258" s="18" t="s">
        <v>185</v>
      </c>
      <c r="M258" s="18" t="s">
        <v>256</v>
      </c>
      <c r="N258" s="48" t="s">
        <v>258</v>
      </c>
      <c r="O258" s="48">
        <v>30</v>
      </c>
      <c r="P258" s="18">
        <v>0</v>
      </c>
      <c r="Q258" s="45" t="s">
        <v>140</v>
      </c>
      <c r="R258" s="18" t="s">
        <v>116</v>
      </c>
      <c r="S258" s="18" t="str">
        <f>IFERROR(VLOOKUP(Tabela1[[#This Row],[Cód. Causa]],'Base de Dados'!$O$2:$P$21,2,0),"")</f>
        <v xml:space="preserve">EQUIPAMENTO TRABALHANDO COM CARGA EXCESSIVA </v>
      </c>
      <c r="T258" s="18" t="str">
        <f>IFERROR(VLOOKUP(Tabela1[[#This Row],[Tag]],'Base de Dados'!$B$2:$C$64,2,0),"")</f>
        <v>CORTE DO CARPETE- WATER JET</v>
      </c>
      <c r="U258" s="18" t="str">
        <f>IFERROR(VLOOKUP(Tabela1[[#This Row],[Tag]],'Base de Dados'!V258:W310,2,0),"")</f>
        <v/>
      </c>
      <c r="V258" s="48">
        <f>DAY(Tabela1[[#This Row],[Data]])</f>
        <v>21</v>
      </c>
      <c r="W258" s="48">
        <f>MONTH(Tabela1[[#This Row],[Data]])</f>
        <v>2</v>
      </c>
      <c r="X258" s="48">
        <f>YEAR(Tabela1[[#This Row],[Data]])</f>
        <v>2023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2:C2"/>
  <sheetViews>
    <sheetView workbookViewId="0">
      <selection activeCell="C22" sqref="C22"/>
    </sheetView>
  </sheetViews>
  <sheetFormatPr defaultRowHeight="15" x14ac:dyDescent="0.25"/>
  <cols>
    <col min="1" max="1" width="30.7109375" customWidth="1"/>
  </cols>
  <sheetData>
    <row r="2" spans="1:3" ht="15" customHeight="1" x14ac:dyDescent="0.25">
      <c r="A2" t="s">
        <v>222</v>
      </c>
      <c r="B2" t="s">
        <v>547</v>
      </c>
      <c r="C2" t="s">
        <v>548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X69"/>
  <sheetViews>
    <sheetView workbookViewId="0">
      <selection activeCell="L13" sqref="L13"/>
    </sheetView>
  </sheetViews>
  <sheetFormatPr defaultRowHeight="15" x14ac:dyDescent="0.25"/>
  <cols>
    <col min="2" max="2" width="19.85546875" bestFit="1" customWidth="1"/>
    <col min="3" max="4" width="6.5703125" bestFit="1" customWidth="1"/>
    <col min="5" max="5" width="6.28515625" customWidth="1"/>
    <col min="6" max="6" width="17.5703125" bestFit="1" customWidth="1"/>
    <col min="7" max="7" width="2.85546875" customWidth="1"/>
    <col min="8" max="8" width="18" customWidth="1"/>
    <col min="9" max="9" width="22" customWidth="1"/>
    <col min="10" max="10" width="3.42578125" customWidth="1"/>
    <col min="11" max="11" width="22" customWidth="1"/>
    <col min="12" max="12" width="26.28515625" customWidth="1"/>
    <col min="13" max="13" width="26.28515625" bestFit="1" customWidth="1"/>
    <col min="14" max="14" width="10.7109375" bestFit="1" customWidth="1"/>
    <col min="19" max="19" width="22" customWidth="1"/>
    <col min="20" max="20" width="21" customWidth="1"/>
    <col min="21" max="21" width="25.28515625" customWidth="1"/>
    <col min="22" max="22" width="5.5703125" style="18" bestFit="1" customWidth="1"/>
    <col min="23" max="23" width="14.7109375" style="18" bestFit="1" customWidth="1"/>
    <col min="24" max="24" width="8" style="18" bestFit="1" customWidth="1"/>
    <col min="25" max="25" width="30.42578125" customWidth="1"/>
    <col min="26" max="26" width="37" customWidth="1"/>
    <col min="27" max="27" width="36.140625" customWidth="1"/>
    <col min="28" max="28" width="26.28515625" customWidth="1"/>
    <col min="29" max="29" width="25.28515625" customWidth="1"/>
    <col min="30" max="30" width="31.5703125" customWidth="1"/>
    <col min="31" max="31" width="30.7109375" customWidth="1"/>
    <col min="32" max="32" width="26.28515625" customWidth="1"/>
    <col min="33" max="33" width="25.28515625" customWidth="1"/>
    <col min="34" max="34" width="36.140625" customWidth="1"/>
    <col min="35" max="35" width="35.28515625" customWidth="1"/>
    <col min="36" max="36" width="26.28515625" customWidth="1"/>
    <col min="37" max="37" width="25.28515625" customWidth="1"/>
    <col min="38" max="38" width="31" customWidth="1"/>
    <col min="39" max="39" width="30.140625" customWidth="1"/>
    <col min="40" max="40" width="26.28515625" customWidth="1"/>
    <col min="41" max="41" width="25.28515625" customWidth="1"/>
    <col min="42" max="42" width="33.42578125" customWidth="1"/>
    <col min="43" max="43" width="32.5703125" customWidth="1"/>
    <col min="44" max="44" width="26.28515625" customWidth="1"/>
    <col min="45" max="45" width="25.28515625" customWidth="1"/>
    <col min="46" max="46" width="33.85546875" customWidth="1"/>
    <col min="47" max="47" width="32.85546875" customWidth="1"/>
    <col min="48" max="48" width="26.28515625" customWidth="1"/>
    <col min="49" max="49" width="25.28515625" customWidth="1"/>
    <col min="50" max="50" width="35.85546875" customWidth="1"/>
    <col min="51" max="51" width="35" customWidth="1"/>
    <col min="52" max="52" width="26.28515625" customWidth="1"/>
    <col min="53" max="53" width="25.28515625" customWidth="1"/>
    <col min="54" max="54" width="36.42578125" customWidth="1"/>
    <col min="55" max="55" width="35.5703125" customWidth="1"/>
    <col min="56" max="56" width="31.28515625" customWidth="1"/>
    <col min="57" max="57" width="30.42578125" customWidth="1"/>
    <col min="58" max="58" width="26.28515625" customWidth="1"/>
    <col min="59" max="59" width="25.28515625" customWidth="1"/>
    <col min="60" max="60" width="26.7109375" customWidth="1"/>
    <col min="61" max="61" width="25.85546875" customWidth="1"/>
    <col min="62" max="62" width="35.85546875" customWidth="1"/>
    <col min="63" max="63" width="35" customWidth="1"/>
    <col min="64" max="64" width="26.28515625" customWidth="1"/>
    <col min="65" max="65" width="25.28515625" customWidth="1"/>
    <col min="66" max="66" width="26.7109375" customWidth="1"/>
    <col min="67" max="67" width="25.85546875" customWidth="1"/>
    <col min="68" max="68" width="31.5703125" customWidth="1"/>
    <col min="69" max="69" width="30.7109375" customWidth="1"/>
    <col min="70" max="70" width="26.28515625" customWidth="1"/>
    <col min="71" max="71" width="25.28515625" customWidth="1"/>
    <col min="72" max="72" width="26.7109375" customWidth="1"/>
    <col min="73" max="73" width="25.85546875" customWidth="1"/>
    <col min="74" max="74" width="32.42578125" customWidth="1"/>
    <col min="75" max="75" width="31.5703125" customWidth="1"/>
    <col min="76" max="76" width="26.28515625" customWidth="1"/>
    <col min="77" max="77" width="25.28515625" customWidth="1"/>
    <col min="78" max="78" width="26.7109375" customWidth="1"/>
    <col min="79" max="79" width="25.85546875" customWidth="1"/>
    <col min="80" max="80" width="36.140625" customWidth="1"/>
    <col min="81" max="81" width="35.28515625" customWidth="1"/>
    <col min="82" max="82" width="26.28515625" customWidth="1"/>
    <col min="83" max="83" width="25.28515625" customWidth="1"/>
    <col min="84" max="84" width="26.7109375" customWidth="1"/>
    <col min="85" max="85" width="25.85546875" customWidth="1"/>
    <col min="86" max="86" width="31" customWidth="1"/>
    <col min="87" max="87" width="30.140625" customWidth="1"/>
    <col min="88" max="88" width="26.28515625" customWidth="1"/>
    <col min="89" max="89" width="25.28515625" customWidth="1"/>
    <col min="90" max="90" width="26.7109375" customWidth="1"/>
    <col min="91" max="91" width="25.85546875" customWidth="1"/>
    <col min="92" max="92" width="26.28515625" customWidth="1"/>
    <col min="93" max="93" width="25.28515625" customWidth="1"/>
    <col min="94" max="94" width="33.42578125" customWidth="1"/>
    <col min="95" max="95" width="32.5703125" customWidth="1"/>
    <col min="96" max="96" width="26.28515625" customWidth="1"/>
    <col min="97" max="97" width="25.28515625" customWidth="1"/>
    <col min="98" max="98" width="35.85546875" customWidth="1"/>
    <col min="99" max="99" width="35" customWidth="1"/>
    <col min="100" max="100" width="37" customWidth="1"/>
    <col min="101" max="101" width="36.140625" customWidth="1"/>
    <col min="102" max="102" width="26.28515625" customWidth="1"/>
    <col min="103" max="103" width="25.28515625" customWidth="1"/>
    <col min="104" max="104" width="26.28515625" customWidth="1"/>
    <col min="105" max="105" width="25.28515625" customWidth="1"/>
    <col min="106" max="106" width="26.7109375" customWidth="1"/>
    <col min="107" max="107" width="25.85546875" customWidth="1"/>
    <col min="108" max="108" width="26.28515625" customWidth="1"/>
    <col min="109" max="109" width="25.28515625" customWidth="1"/>
    <col min="110" max="110" width="36.42578125" bestFit="1" customWidth="1"/>
    <col min="111" max="111" width="35.5703125" customWidth="1"/>
    <col min="112" max="112" width="33.42578125" customWidth="1"/>
    <col min="113" max="113" width="32.5703125" customWidth="1"/>
    <col min="114" max="114" width="26.28515625" customWidth="1"/>
    <col min="115" max="115" width="25.28515625" customWidth="1"/>
    <col min="116" max="116" width="26.7109375" customWidth="1"/>
    <col min="117" max="117" width="25.85546875" customWidth="1"/>
    <col min="118" max="118" width="33.85546875" customWidth="1"/>
    <col min="119" max="119" width="32.85546875" customWidth="1"/>
    <col min="120" max="120" width="26.28515625" customWidth="1"/>
    <col min="121" max="121" width="25.28515625" customWidth="1"/>
    <col min="122" max="122" width="26.7109375" customWidth="1"/>
    <col min="123" max="123" width="25.85546875" customWidth="1"/>
    <col min="124" max="124" width="35.85546875" customWidth="1"/>
    <col min="125" max="125" width="35" customWidth="1"/>
    <col min="126" max="126" width="26.28515625" customWidth="1"/>
    <col min="127" max="127" width="25.28515625" customWidth="1"/>
    <col min="128" max="128" width="26.7109375" customWidth="1"/>
    <col min="129" max="129" width="25.85546875" customWidth="1"/>
    <col min="130" max="130" width="26.28515625" customWidth="1"/>
    <col min="131" max="131" width="25.28515625" customWidth="1"/>
    <col min="132" max="132" width="37" customWidth="1"/>
    <col min="133" max="133" width="36.140625" customWidth="1"/>
    <col min="134" max="134" width="26.28515625" customWidth="1"/>
    <col min="135" max="135" width="25.28515625" customWidth="1"/>
    <col min="136" max="136" width="33.42578125" customWidth="1"/>
    <col min="137" max="137" width="32.5703125" customWidth="1"/>
    <col min="138" max="138" width="26.28515625" customWidth="1"/>
    <col min="139" max="139" width="25.28515625" customWidth="1"/>
    <col min="140" max="140" width="35.85546875" customWidth="1"/>
    <col min="141" max="141" width="35" customWidth="1"/>
    <col min="142" max="142" width="36.42578125" customWidth="1"/>
    <col min="143" max="143" width="35.5703125" customWidth="1"/>
    <col min="144" max="144" width="26.28515625" customWidth="1"/>
    <col min="145" max="145" width="25.28515625" customWidth="1"/>
    <col min="146" max="146" width="26.7109375" customWidth="1"/>
    <col min="147" max="147" width="25.85546875" customWidth="1"/>
    <col min="148" max="148" width="26.28515625" customWidth="1"/>
    <col min="149" max="149" width="25.28515625" customWidth="1"/>
    <col min="150" max="150" width="36.140625" customWidth="1"/>
    <col min="151" max="151" width="35.28515625" customWidth="1"/>
    <col min="152" max="152" width="32.5703125" customWidth="1"/>
    <col min="153" max="153" width="31.7109375" customWidth="1"/>
    <col min="154" max="154" width="26.28515625" customWidth="1"/>
    <col min="155" max="155" width="25.28515625" customWidth="1"/>
    <col min="156" max="156" width="26.7109375" customWidth="1"/>
    <col min="157" max="157" width="25.85546875" customWidth="1"/>
    <col min="158" max="158" width="26.28515625" customWidth="1"/>
    <col min="159" max="159" width="25.28515625" customWidth="1"/>
    <col min="160" max="160" width="31" customWidth="1"/>
    <col min="161" max="161" width="30.140625" customWidth="1"/>
    <col min="162" max="162" width="37" customWidth="1"/>
    <col min="163" max="163" width="36.140625" customWidth="1"/>
    <col min="164" max="164" width="31.28515625" customWidth="1"/>
    <col min="165" max="165" width="30.42578125" customWidth="1"/>
    <col min="166" max="166" width="31.5703125" customWidth="1"/>
    <col min="167" max="167" width="36.5703125" customWidth="1"/>
    <col min="168" max="168" width="35.7109375" customWidth="1"/>
    <col min="169" max="169" width="26.28515625" customWidth="1"/>
    <col min="170" max="170" width="26.28515625" bestFit="1" customWidth="1"/>
    <col min="171" max="171" width="26.7109375" customWidth="1"/>
    <col min="172" max="172" width="25.85546875" customWidth="1"/>
    <col min="173" max="173" width="36.5703125" customWidth="1"/>
    <col min="174" max="174" width="35.7109375" customWidth="1"/>
    <col min="175" max="175" width="26.28515625" bestFit="1" customWidth="1"/>
    <col min="176" max="176" width="26.28515625" customWidth="1"/>
    <col min="177" max="177" width="26.7109375" customWidth="1"/>
    <col min="178" max="178" width="25.85546875" customWidth="1"/>
    <col min="179" max="179" width="33.85546875" customWidth="1"/>
    <col min="180" max="180" width="32.85546875" customWidth="1"/>
    <col min="181" max="181" width="34.7109375" bestFit="1" customWidth="1"/>
    <col min="182" max="182" width="33.85546875" customWidth="1"/>
    <col min="183" max="184" width="26.28515625" customWidth="1"/>
    <col min="185" max="185" width="26.7109375" customWidth="1"/>
    <col min="186" max="186" width="25.85546875" customWidth="1"/>
    <col min="187" max="188" width="26.28515625" customWidth="1"/>
    <col min="189" max="189" width="31" customWidth="1"/>
    <col min="190" max="190" width="30.140625" customWidth="1"/>
    <col min="191" max="191" width="37" customWidth="1"/>
    <col min="192" max="192" width="36.140625" customWidth="1"/>
    <col min="193" max="193" width="35.85546875" customWidth="1"/>
    <col min="194" max="194" width="35" customWidth="1"/>
    <col min="195" max="196" width="26.28515625" customWidth="1"/>
    <col min="197" max="197" width="26.7109375" customWidth="1"/>
    <col min="198" max="198" width="25.85546875" bestFit="1" customWidth="1"/>
    <col min="199" max="199" width="36.140625" bestFit="1" customWidth="1"/>
    <col min="200" max="200" width="35.28515625" bestFit="1" customWidth="1"/>
    <col min="201" max="201" width="31.5703125" bestFit="1" customWidth="1"/>
    <col min="202" max="202" width="30.7109375" bestFit="1" customWidth="1"/>
    <col min="203" max="204" width="26.28515625" bestFit="1" customWidth="1"/>
    <col min="205" max="205" width="26.7109375" bestFit="1" customWidth="1"/>
    <col min="206" max="206" width="25.85546875" bestFit="1" customWidth="1"/>
    <col min="207" max="208" width="26.28515625" bestFit="1" customWidth="1"/>
    <col min="209" max="209" width="33.85546875" bestFit="1" customWidth="1"/>
    <col min="210" max="210" width="32.85546875" bestFit="1" customWidth="1"/>
    <col min="211" max="211" width="34.7109375" bestFit="1" customWidth="1"/>
    <col min="212" max="212" width="33.85546875" bestFit="1" customWidth="1"/>
    <col min="213" max="213" width="32.42578125" bestFit="1" customWidth="1"/>
    <col min="214" max="214" width="31.5703125" bestFit="1" customWidth="1"/>
    <col min="215" max="216" width="26.28515625" bestFit="1" customWidth="1"/>
    <col min="217" max="217" width="26.7109375" bestFit="1" customWidth="1"/>
    <col min="218" max="218" width="25.85546875" bestFit="1" customWidth="1"/>
    <col min="219" max="220" width="26.28515625" bestFit="1" customWidth="1"/>
    <col min="221" max="221" width="31.5703125" bestFit="1" customWidth="1"/>
    <col min="222" max="222" width="30.7109375" bestFit="1" customWidth="1"/>
    <col min="223" max="223" width="34.7109375" bestFit="1" customWidth="1"/>
    <col min="224" max="224" width="33.85546875" bestFit="1" customWidth="1"/>
    <col min="225" max="226" width="26.28515625" bestFit="1" customWidth="1"/>
    <col min="227" max="227" width="26.7109375" bestFit="1" customWidth="1"/>
    <col min="228" max="228" width="25.85546875" bestFit="1" customWidth="1"/>
    <col min="229" max="229" width="33.85546875" bestFit="1" customWidth="1"/>
    <col min="230" max="230" width="32.85546875" bestFit="1" customWidth="1"/>
    <col min="231" max="231" width="36.140625" bestFit="1" customWidth="1"/>
    <col min="232" max="232" width="35.28515625" bestFit="1" customWidth="1"/>
    <col min="233" max="234" width="26.28515625" bestFit="1" customWidth="1"/>
    <col min="235" max="235" width="26.7109375" bestFit="1" customWidth="1"/>
    <col min="236" max="236" width="25.85546875" bestFit="1" customWidth="1"/>
    <col min="237" max="237" width="37" bestFit="1" customWidth="1"/>
    <col min="238" max="238" width="36.140625" bestFit="1" customWidth="1"/>
    <col min="239" max="240" width="26.28515625" bestFit="1" customWidth="1"/>
    <col min="241" max="241" width="26.7109375" bestFit="1" customWidth="1"/>
    <col min="242" max="242" width="25.85546875" bestFit="1" customWidth="1"/>
    <col min="243" max="243" width="37" bestFit="1" customWidth="1"/>
    <col min="244" max="244" width="36.140625" bestFit="1" customWidth="1"/>
    <col min="245" max="245" width="31" bestFit="1" customWidth="1"/>
    <col min="246" max="246" width="30.140625" bestFit="1" customWidth="1"/>
    <col min="247" max="248" width="26.28515625" bestFit="1" customWidth="1"/>
    <col min="249" max="249" width="26.7109375" bestFit="1" customWidth="1"/>
    <col min="250" max="250" width="25.85546875" bestFit="1" customWidth="1"/>
    <col min="251" max="251" width="26.7109375" bestFit="1" customWidth="1"/>
    <col min="252" max="252" width="25.85546875" bestFit="1" customWidth="1"/>
    <col min="253" max="254" width="26.28515625" bestFit="1" customWidth="1"/>
    <col min="255" max="255" width="26.7109375" bestFit="1" customWidth="1"/>
    <col min="256" max="256" width="25.85546875" bestFit="1" customWidth="1"/>
    <col min="257" max="257" width="37" bestFit="1" customWidth="1"/>
    <col min="258" max="258" width="36.140625" bestFit="1" customWidth="1"/>
    <col min="259" max="262" width="26.28515625" bestFit="1" customWidth="1"/>
    <col min="263" max="263" width="26.7109375" bestFit="1" customWidth="1"/>
    <col min="264" max="264" width="25.85546875" bestFit="1" customWidth="1"/>
    <col min="265" max="265" width="33.42578125" bestFit="1" customWidth="1"/>
    <col min="266" max="266" width="32.5703125" bestFit="1" customWidth="1"/>
    <col min="267" max="268" width="26.28515625" bestFit="1" customWidth="1"/>
    <col min="269" max="269" width="33.42578125" bestFit="1" customWidth="1"/>
    <col min="270" max="270" width="32.5703125" bestFit="1" customWidth="1"/>
    <col min="271" max="271" width="36.42578125" bestFit="1" customWidth="1"/>
    <col min="272" max="272" width="35.5703125" bestFit="1" customWidth="1"/>
    <col min="273" max="273" width="37" bestFit="1" customWidth="1"/>
    <col min="274" max="274" width="36.140625" bestFit="1" customWidth="1"/>
    <col min="275" max="276" width="26.28515625" bestFit="1" customWidth="1"/>
    <col min="277" max="277" width="26.7109375" bestFit="1" customWidth="1"/>
    <col min="278" max="278" width="25.85546875" bestFit="1" customWidth="1"/>
    <col min="279" max="279" width="37" bestFit="1" customWidth="1"/>
    <col min="280" max="280" width="36.140625" bestFit="1" customWidth="1"/>
    <col min="281" max="282" width="26.28515625" bestFit="1" customWidth="1"/>
    <col min="283" max="283" width="26.7109375" bestFit="1" customWidth="1"/>
    <col min="284" max="284" width="25.85546875" bestFit="1" customWidth="1"/>
    <col min="285" max="285" width="36.42578125" bestFit="1" customWidth="1"/>
    <col min="286" max="286" width="35.5703125" bestFit="1" customWidth="1"/>
    <col min="287" max="287" width="33.42578125" bestFit="1" customWidth="1"/>
    <col min="288" max="288" width="32.5703125" bestFit="1" customWidth="1"/>
    <col min="289" max="290" width="26.28515625" bestFit="1" customWidth="1"/>
    <col min="291" max="291" width="26.7109375" bestFit="1" customWidth="1"/>
    <col min="292" max="292" width="25.85546875" bestFit="1" customWidth="1"/>
    <col min="293" max="293" width="36.5703125" bestFit="1" customWidth="1"/>
    <col min="294" max="294" width="35.7109375" bestFit="1" customWidth="1"/>
    <col min="295" max="296" width="26.28515625" bestFit="1" customWidth="1"/>
    <col min="297" max="297" width="26.7109375" bestFit="1" customWidth="1"/>
    <col min="298" max="298" width="25.85546875" bestFit="1" customWidth="1"/>
    <col min="299" max="299" width="34.7109375" bestFit="1" customWidth="1"/>
    <col min="300" max="300" width="33.85546875" bestFit="1" customWidth="1"/>
    <col min="301" max="302" width="26.28515625" bestFit="1" customWidth="1"/>
    <col min="303" max="303" width="26.7109375" bestFit="1" customWidth="1"/>
    <col min="304" max="304" width="25.85546875" bestFit="1" customWidth="1"/>
    <col min="305" max="305" width="36.140625" bestFit="1" customWidth="1"/>
    <col min="306" max="306" width="35.28515625" bestFit="1" customWidth="1"/>
    <col min="307" max="307" width="33.85546875" bestFit="1" customWidth="1"/>
    <col min="308" max="308" width="32.85546875" bestFit="1" customWidth="1"/>
    <col min="309" max="310" width="26.28515625" bestFit="1" customWidth="1"/>
    <col min="311" max="311" width="26.7109375" bestFit="1" customWidth="1"/>
    <col min="312" max="312" width="25.85546875" bestFit="1" customWidth="1"/>
    <col min="313" max="313" width="34.7109375" bestFit="1" customWidth="1"/>
    <col min="314" max="314" width="33.85546875" bestFit="1" customWidth="1"/>
    <col min="315" max="316" width="26.28515625" bestFit="1" customWidth="1"/>
    <col min="317" max="317" width="36.140625" bestFit="1" customWidth="1"/>
    <col min="318" max="318" width="35.28515625" bestFit="1" customWidth="1"/>
    <col min="319" max="319" width="32.5703125" bestFit="1" customWidth="1"/>
    <col min="320" max="320" width="31.7109375" bestFit="1" customWidth="1"/>
    <col min="321" max="321" width="35.85546875" bestFit="1" customWidth="1"/>
    <col min="322" max="322" width="35" bestFit="1" customWidth="1"/>
    <col min="323" max="324" width="26.28515625" bestFit="1" customWidth="1"/>
    <col min="325" max="325" width="26.7109375" bestFit="1" customWidth="1"/>
    <col min="326" max="326" width="25.85546875" bestFit="1" customWidth="1"/>
    <col min="327" max="328" width="26.28515625" bestFit="1" customWidth="1"/>
    <col min="329" max="329" width="33.42578125" bestFit="1" customWidth="1"/>
    <col min="330" max="330" width="32.5703125" bestFit="1" customWidth="1"/>
    <col min="331" max="331" width="37" bestFit="1" customWidth="1"/>
    <col min="332" max="332" width="36.140625" bestFit="1" customWidth="1"/>
    <col min="333" max="333" width="36.42578125" bestFit="1" customWidth="1"/>
    <col min="334" max="334" width="35.5703125" bestFit="1" customWidth="1"/>
    <col min="335" max="336" width="26.28515625" bestFit="1" customWidth="1"/>
    <col min="337" max="337" width="26.7109375" bestFit="1" customWidth="1"/>
    <col min="338" max="338" width="25.85546875" bestFit="1" customWidth="1"/>
    <col min="339" max="339" width="36.5703125" bestFit="1" customWidth="1"/>
    <col min="340" max="340" width="35.7109375" bestFit="1" customWidth="1"/>
    <col min="341" max="342" width="26.28515625" bestFit="1" customWidth="1"/>
    <col min="343" max="343" width="35.85546875" bestFit="1" customWidth="1"/>
    <col min="344" max="344" width="35" bestFit="1" customWidth="1"/>
    <col min="345" max="345" width="34.7109375" bestFit="1" customWidth="1"/>
    <col min="346" max="346" width="33.85546875" bestFit="1" customWidth="1"/>
    <col min="347" max="348" width="26.28515625" bestFit="1" customWidth="1"/>
    <col min="349" max="349" width="26.7109375" bestFit="1" customWidth="1"/>
    <col min="350" max="350" width="25.85546875" bestFit="1" customWidth="1"/>
    <col min="351" max="351" width="31.5703125" bestFit="1" customWidth="1"/>
    <col min="352" max="352" width="30.7109375" bestFit="1" customWidth="1"/>
    <col min="353" max="354" width="26.28515625" bestFit="1" customWidth="1"/>
    <col min="355" max="355" width="26.7109375" bestFit="1" customWidth="1"/>
    <col min="356" max="356" width="25.85546875" bestFit="1" customWidth="1"/>
    <col min="357" max="357" width="35.85546875" bestFit="1" customWidth="1"/>
    <col min="358" max="358" width="35" bestFit="1" customWidth="1"/>
    <col min="359" max="359" width="32.5703125" bestFit="1" customWidth="1"/>
    <col min="360" max="360" width="31.7109375" bestFit="1" customWidth="1"/>
    <col min="361" max="362" width="26.28515625" bestFit="1" customWidth="1"/>
    <col min="363" max="363" width="26.7109375" bestFit="1" customWidth="1"/>
    <col min="364" max="364" width="25.85546875" bestFit="1" customWidth="1"/>
    <col min="365" max="365" width="35.85546875" bestFit="1" customWidth="1"/>
    <col min="366" max="366" width="35" bestFit="1" customWidth="1"/>
    <col min="367" max="368" width="26.28515625" bestFit="1" customWidth="1"/>
    <col min="369" max="369" width="26.7109375" bestFit="1" customWidth="1"/>
    <col min="370" max="370" width="25.85546875" bestFit="1" customWidth="1"/>
    <col min="371" max="371" width="31" bestFit="1" customWidth="1"/>
    <col min="372" max="372" width="30.140625" bestFit="1" customWidth="1"/>
    <col min="373" max="373" width="37" bestFit="1" customWidth="1"/>
    <col min="374" max="374" width="36.140625" bestFit="1" customWidth="1"/>
    <col min="375" max="375" width="31.28515625" bestFit="1" customWidth="1"/>
    <col min="376" max="376" width="30.42578125" bestFit="1" customWidth="1"/>
  </cols>
  <sheetData>
    <row r="1" spans="2:24" x14ac:dyDescent="0.25">
      <c r="H1" s="35" t="s">
        <v>534</v>
      </c>
      <c r="I1" t="s" vm="3">
        <v>312</v>
      </c>
      <c r="K1" s="35" t="s">
        <v>227</v>
      </c>
      <c r="L1" t="s">
        <v>11</v>
      </c>
      <c r="S1" s="35" t="s">
        <v>236</v>
      </c>
      <c r="T1" t="s">
        <v>537</v>
      </c>
      <c r="W1" s="49" t="s">
        <v>549</v>
      </c>
      <c r="X1" s="49" t="s">
        <v>552</v>
      </c>
    </row>
    <row r="2" spans="2:24" x14ac:dyDescent="0.25">
      <c r="H2" s="35" t="s">
        <v>535</v>
      </c>
      <c r="I2" t="s" vm="4">
        <v>312</v>
      </c>
      <c r="K2" s="35" t="s">
        <v>557</v>
      </c>
      <c r="L2" t="s">
        <v>558</v>
      </c>
      <c r="P2" t="s">
        <v>553</v>
      </c>
      <c r="S2" s="35" t="s">
        <v>237</v>
      </c>
      <c r="T2" t="s">
        <v>537</v>
      </c>
      <c r="V2" s="42">
        <v>631</v>
      </c>
      <c r="W2" s="42" t="str">
        <f>VLOOKUP(V2,'Base de Dados'!I8:J27,2,0)</f>
        <v>JOSINALDO</v>
      </c>
      <c r="X2" s="42">
        <v>96</v>
      </c>
    </row>
    <row r="3" spans="2:24" x14ac:dyDescent="0.25">
      <c r="B3" s="32" t="s">
        <v>269</v>
      </c>
      <c r="C3" s="55">
        <f>SUM(C17:C69) / COUNTIF(C17:C69,"&gt;0")</f>
        <v>37.044175722408987</v>
      </c>
      <c r="D3" s="32" t="s">
        <v>273</v>
      </c>
      <c r="H3" s="35" t="s">
        <v>536</v>
      </c>
      <c r="I3" t="s" vm="5">
        <v>312</v>
      </c>
      <c r="K3" s="35" t="s">
        <v>534</v>
      </c>
      <c r="L3" t="s">
        <v>537</v>
      </c>
      <c r="P3" t="s">
        <v>554</v>
      </c>
      <c r="S3" s="35" t="s">
        <v>238</v>
      </c>
      <c r="T3" t="s">
        <v>537</v>
      </c>
      <c r="V3" s="42">
        <v>540</v>
      </c>
      <c r="W3" s="42" t="str">
        <f>VLOOKUP(V3,'Base de Dados'!I19:J38,2,0)</f>
        <v>ANDERSON</v>
      </c>
      <c r="X3" s="42">
        <v>67</v>
      </c>
    </row>
    <row r="4" spans="2:24" x14ac:dyDescent="0.25">
      <c r="B4" s="32" t="s">
        <v>270</v>
      </c>
      <c r="C4" s="55">
        <f>SUM(D17:D69) / COUNTIF(D17:D69,"&gt;0")</f>
        <v>157.6792976351993</v>
      </c>
      <c r="D4" s="32" t="s">
        <v>274</v>
      </c>
      <c r="H4" s="35" t="s">
        <v>226</v>
      </c>
      <c r="I4" t="s" vm="1">
        <v>312</v>
      </c>
      <c r="K4" s="35" t="s">
        <v>535</v>
      </c>
      <c r="L4" s="36">
        <v>11</v>
      </c>
      <c r="P4" t="s">
        <v>555</v>
      </c>
      <c r="S4" s="35" t="s">
        <v>239</v>
      </c>
      <c r="T4" t="s">
        <v>537</v>
      </c>
      <c r="V4" s="42">
        <v>248</v>
      </c>
      <c r="W4" s="42" t="str">
        <f>VLOOKUP(V4,'Base de Dados'!I12:J31,2,0)</f>
        <v>RUIGUENS</v>
      </c>
      <c r="X4" s="42">
        <v>60</v>
      </c>
    </row>
    <row r="5" spans="2:24" x14ac:dyDescent="0.25">
      <c r="B5" s="32" t="s">
        <v>271</v>
      </c>
      <c r="C5" s="32"/>
      <c r="D5" s="32" t="s">
        <v>273</v>
      </c>
      <c r="H5" s="35" t="s">
        <v>228</v>
      </c>
      <c r="I5" t="s" vm="2">
        <v>312</v>
      </c>
      <c r="K5" s="35" t="s">
        <v>536</v>
      </c>
      <c r="L5" s="36">
        <v>2022</v>
      </c>
      <c r="S5" s="35" t="s">
        <v>226</v>
      </c>
      <c r="T5" t="s">
        <v>537</v>
      </c>
      <c r="V5" s="42">
        <v>739</v>
      </c>
      <c r="W5" s="42" t="str">
        <f>VLOOKUP(V5,'Base de Dados'!I18:J37,2,0)</f>
        <v>DANILLO</v>
      </c>
      <c r="X5" s="42">
        <v>55</v>
      </c>
    </row>
    <row r="6" spans="2:24" x14ac:dyDescent="0.25">
      <c r="B6" s="32" t="s">
        <v>272</v>
      </c>
      <c r="C6" s="54">
        <f xml:space="preserve"> SUM(E17:E69) / COUNTIF(E17:E69,"&gt;0") / 100</f>
        <v>0.62961538461538458</v>
      </c>
      <c r="D6" s="32"/>
      <c r="K6" s="35" t="s">
        <v>226</v>
      </c>
      <c r="L6" t="s">
        <v>537</v>
      </c>
      <c r="S6" s="35" t="s">
        <v>534</v>
      </c>
      <c r="T6" s="36">
        <v>30</v>
      </c>
      <c r="V6" s="42">
        <v>282</v>
      </c>
      <c r="W6" s="42" t="str">
        <f>VLOOKUP(V6,'Base de Dados'!I2:J21,2,0)</f>
        <v>ALBERTO</v>
      </c>
      <c r="X6" s="42">
        <v>55</v>
      </c>
    </row>
    <row r="7" spans="2:24" x14ac:dyDescent="0.25">
      <c r="H7" s="35" t="s">
        <v>310</v>
      </c>
      <c r="I7" t="s">
        <v>311</v>
      </c>
      <c r="S7" s="35" t="s">
        <v>535</v>
      </c>
      <c r="T7" s="36">
        <v>11</v>
      </c>
      <c r="V7" s="42">
        <v>435</v>
      </c>
      <c r="W7" s="42" t="str">
        <f>VLOOKUP(V7,'Base de Dados'!I13:J32,2,0)</f>
        <v>SILVIO</v>
      </c>
      <c r="X7" s="42">
        <v>47</v>
      </c>
    </row>
    <row r="8" spans="2:24" x14ac:dyDescent="0.25">
      <c r="B8" s="33" t="s">
        <v>283</v>
      </c>
      <c r="C8" s="33" t="s">
        <v>263</v>
      </c>
      <c r="D8" s="33" t="s">
        <v>262</v>
      </c>
      <c r="H8" s="36" t="s">
        <v>112</v>
      </c>
      <c r="I8" s="50">
        <v>1116</v>
      </c>
      <c r="K8" t="s">
        <v>311</v>
      </c>
      <c r="L8" t="s">
        <v>533</v>
      </c>
      <c r="S8" s="35" t="s">
        <v>536</v>
      </c>
      <c r="T8" s="36">
        <v>2022</v>
      </c>
      <c r="V8" s="42">
        <v>73</v>
      </c>
      <c r="W8" s="42" t="str">
        <f>VLOOKUP(V8,'Base de Dados'!I2:J21,2,0)</f>
        <v>VALDEMAR</v>
      </c>
      <c r="X8" s="42">
        <v>43</v>
      </c>
    </row>
    <row r="9" spans="2:24" x14ac:dyDescent="0.25">
      <c r="B9" s="33" t="s">
        <v>277</v>
      </c>
      <c r="C9" s="58">
        <f>IFERROR(SUMIF($F$17:$F$69,B9,$D$17:$D$69) / COUNTIFS($F$17:$F$69,B9,$E$17:$E$69,"&gt;0"),0)</f>
        <v>0</v>
      </c>
      <c r="D9" s="58">
        <f>IFERROR(SUMIF($F$17:$F$69,B9,$C$17:$C$69) / COUNTIFS($F$17:$F$69,B9,$E$17:$E$69,"&gt;0"),0)</f>
        <v>0</v>
      </c>
      <c r="H9" s="36" t="s">
        <v>141</v>
      </c>
      <c r="I9" s="50">
        <v>521</v>
      </c>
      <c r="K9" s="50">
        <v>241</v>
      </c>
      <c r="L9" s="50">
        <v>9</v>
      </c>
      <c r="V9" s="42">
        <v>721</v>
      </c>
      <c r="W9" s="42" t="str">
        <f>VLOOKUP(V9,'Base de Dados'!I15:J34,2,0)</f>
        <v>GENILSON</v>
      </c>
      <c r="X9" s="42">
        <v>30</v>
      </c>
    </row>
    <row r="10" spans="2:24" x14ac:dyDescent="0.25">
      <c r="B10" s="33" t="s">
        <v>278</v>
      </c>
      <c r="C10" s="58">
        <f t="shared" ref="C10:C14" si="0">IFERROR(SUMIF($F$17:$F$69,B10,$D$17:$D$69) / COUNTIFS($F$17:$F$69,B10,$E$17:$E$69,"&gt;0"),0)</f>
        <v>97.944444444444443</v>
      </c>
      <c r="D10" s="58">
        <f t="shared" ref="D10:D14" si="1">IFERROR(SUMIF($F$17:$F$69,B10,$C$17:$C$69) / COUNTIFS($F$17:$F$69,B10,$E$17:$E$69,"&gt;0"),0)</f>
        <v>62.055555555555557</v>
      </c>
      <c r="H10" s="36" t="s">
        <v>104</v>
      </c>
      <c r="I10" s="50">
        <v>516</v>
      </c>
      <c r="S10" t="s">
        <v>311</v>
      </c>
      <c r="T10" t="s">
        <v>551</v>
      </c>
      <c r="V10" s="42">
        <v>493</v>
      </c>
      <c r="W10" s="42" t="str">
        <f>VLOOKUP(V10,'Base de Dados'!I16:J35,2,0)</f>
        <v>ELIAS</v>
      </c>
      <c r="X10" s="42">
        <v>30</v>
      </c>
    </row>
    <row r="11" spans="2:24" x14ac:dyDescent="0.25">
      <c r="B11" s="33" t="s">
        <v>279</v>
      </c>
      <c r="C11" s="58">
        <f t="shared" si="0"/>
        <v>61.333333333333336</v>
      </c>
      <c r="D11" s="58">
        <f t="shared" si="1"/>
        <v>58.666666666666664</v>
      </c>
      <c r="H11" s="36" t="s">
        <v>79</v>
      </c>
      <c r="I11" s="50">
        <v>491</v>
      </c>
      <c r="S11" s="50">
        <v>348</v>
      </c>
      <c r="T11" s="50">
        <v>0</v>
      </c>
      <c r="V11" s="42">
        <v>592</v>
      </c>
      <c r="W11" s="42" t="str">
        <f>VLOOKUP(V11,'Base de Dados'!I17:J36,2,0)</f>
        <v>CRISTIANO</v>
      </c>
      <c r="X11" s="42">
        <v>27</v>
      </c>
    </row>
    <row r="12" spans="2:24" x14ac:dyDescent="0.25">
      <c r="B12" s="33" t="s">
        <v>280</v>
      </c>
      <c r="C12" s="58">
        <f t="shared" si="0"/>
        <v>199.97704545454548</v>
      </c>
      <c r="D12" s="58">
        <f t="shared" si="1"/>
        <v>36.968409090909084</v>
      </c>
      <c r="H12" s="36" t="s">
        <v>185</v>
      </c>
      <c r="I12" s="50">
        <v>475</v>
      </c>
      <c r="P12" t="s">
        <v>573</v>
      </c>
      <c r="V12" s="42">
        <v>782</v>
      </c>
      <c r="W12" s="42" t="str">
        <f>VLOOKUP(V12,'Base de Dados'!I20:J40,2,0)</f>
        <v>JOSÉ</v>
      </c>
      <c r="X12" s="42">
        <v>21</v>
      </c>
    </row>
    <row r="13" spans="2:24" x14ac:dyDescent="0.25">
      <c r="B13" s="33" t="s">
        <v>282</v>
      </c>
      <c r="C13" s="58">
        <f>IFERROR(SUMIF($F$17:$F$69,B13,$D$17:$D$69) / COUNTIFS($F$17:$F$69,B13,$E$17:$E$69,"&gt;0"),0)</f>
        <v>9.045454545454545</v>
      </c>
      <c r="D13" s="58">
        <f>IFERROR(SUMIF($F$17:$F$69,B13,$C$17:$C$69) / COUNTIFS($F$17:$F$69,B13,$E$17:$E$69,"&gt;0"),0)</f>
        <v>23.681818181818183</v>
      </c>
      <c r="H13" s="36" t="s">
        <v>47</v>
      </c>
      <c r="I13" s="50">
        <v>352</v>
      </c>
      <c r="P13" t="s">
        <v>571</v>
      </c>
      <c r="V13" s="42">
        <v>444</v>
      </c>
      <c r="W13" s="42" t="str">
        <f>VLOOKUP(V13,'Base de Dados'!I5:J24,2,0)</f>
        <v>EDUARDO</v>
      </c>
      <c r="X13" s="42">
        <v>20</v>
      </c>
    </row>
    <row r="14" spans="2:24" x14ac:dyDescent="0.25">
      <c r="B14" s="33" t="s">
        <v>567</v>
      </c>
      <c r="C14" s="58">
        <f t="shared" si="0"/>
        <v>156.13908804519033</v>
      </c>
      <c r="D14" s="58">
        <f t="shared" si="1"/>
        <v>36.505200695236567</v>
      </c>
      <c r="H14" s="36" t="s">
        <v>177</v>
      </c>
      <c r="I14" s="50">
        <v>327</v>
      </c>
      <c r="P14" t="s">
        <v>572</v>
      </c>
      <c r="V14" s="42">
        <v>677</v>
      </c>
      <c r="W14" s="42" t="str">
        <f>VLOOKUP(V14,'Base de Dados'!I10:J29,2,0)</f>
        <v>RAFAEL</v>
      </c>
      <c r="X14" s="42">
        <v>15</v>
      </c>
    </row>
    <row r="15" spans="2:24" x14ac:dyDescent="0.25">
      <c r="H15" s="36" t="s">
        <v>73</v>
      </c>
      <c r="I15" s="50">
        <v>303</v>
      </c>
      <c r="V15" s="42">
        <v>15</v>
      </c>
      <c r="W15" s="42" t="str">
        <f>VLOOKUP(V15,'Base de Dados'!I11:J30,2,0)</f>
        <v>ROBERT</v>
      </c>
      <c r="X15" s="42">
        <v>0</v>
      </c>
    </row>
    <row r="16" spans="2:24" x14ac:dyDescent="0.25">
      <c r="B16" s="51" t="s">
        <v>568</v>
      </c>
      <c r="C16" s="51" t="s">
        <v>262</v>
      </c>
      <c r="D16" s="51" t="s">
        <v>263</v>
      </c>
      <c r="E16" s="51" t="s">
        <v>569</v>
      </c>
      <c r="F16" s="51" t="s">
        <v>570</v>
      </c>
      <c r="G16" s="56"/>
      <c r="H16" s="36" t="s">
        <v>11</v>
      </c>
      <c r="I16" s="50">
        <v>292</v>
      </c>
      <c r="V16" s="42">
        <v>185</v>
      </c>
      <c r="W16" s="42" t="str">
        <f>VLOOKUP(V16,'Base de Dados'!I6:J25,2,0)</f>
        <v>FELIPE</v>
      </c>
      <c r="X16" s="42">
        <v>0</v>
      </c>
    </row>
    <row r="17" spans="2:24" x14ac:dyDescent="0.25">
      <c r="B17" s="25" t="s">
        <v>11</v>
      </c>
      <c r="C17" s="52">
        <v>26.777777777777779</v>
      </c>
      <c r="D17" s="52">
        <v>53.222222222222221</v>
      </c>
      <c r="E17" s="53">
        <v>67</v>
      </c>
      <c r="F17" s="53" t="str">
        <f>IFERROR(VLOOKUP(B17,'Base de Dados'!Y2:Z38,2,0), "Outros")</f>
        <v>LWF Block foaming</v>
      </c>
      <c r="G17" s="57"/>
      <c r="H17" s="36" t="s">
        <v>172</v>
      </c>
      <c r="I17" s="50">
        <v>278</v>
      </c>
      <c r="V17" s="42">
        <v>877</v>
      </c>
      <c r="W17" s="42" t="str">
        <f>VLOOKUP(V17,'Base de Dados'!I21:J41,2,0)</f>
        <v>RONALDO</v>
      </c>
      <c r="X17" s="42">
        <v>0</v>
      </c>
    </row>
    <row r="18" spans="2:24" x14ac:dyDescent="0.25">
      <c r="B18" s="25" t="s">
        <v>21</v>
      </c>
      <c r="C18" s="52">
        <v>97.333333333333329</v>
      </c>
      <c r="D18" s="52">
        <v>142.66666666666666</v>
      </c>
      <c r="E18" s="53">
        <v>59</v>
      </c>
      <c r="F18" s="53" t="str">
        <f>IFERROR(VLOOKUP(B18,'Base de Dados'!Y3:Z39,2,0), "Outros")</f>
        <v>LWF Block foaming</v>
      </c>
      <c r="H18" s="36" t="s">
        <v>309</v>
      </c>
      <c r="I18" s="50">
        <v>4671</v>
      </c>
      <c r="V18" s="42">
        <v>267</v>
      </c>
      <c r="W18" s="42" t="str">
        <f>VLOOKUP(V18,'Base de Dados'!I3:J22,2,0)</f>
        <v>A. FERNANDO</v>
      </c>
      <c r="X18" s="42">
        <v>0</v>
      </c>
    </row>
    <row r="19" spans="2:24" x14ac:dyDescent="0.25">
      <c r="B19" s="25" t="s">
        <v>28</v>
      </c>
      <c r="C19" s="52">
        <v>45</v>
      </c>
      <c r="D19" s="52">
        <v>315</v>
      </c>
      <c r="E19" s="53">
        <v>88</v>
      </c>
      <c r="F19" s="53" t="str">
        <f>IFERROR(VLOOKUP(B19,'Base de Dados'!Y4:Z40,2,0), "Outros")</f>
        <v>Outros</v>
      </c>
      <c r="V19" s="42">
        <v>188</v>
      </c>
      <c r="W19" s="42" t="str">
        <f>VLOOKUP(V19,'Base de Dados'!I4:J23,2,0)</f>
        <v>DAVID</v>
      </c>
      <c r="X19" s="42">
        <v>0</v>
      </c>
    </row>
    <row r="20" spans="2:24" x14ac:dyDescent="0.25">
      <c r="B20" s="25" t="s">
        <v>36</v>
      </c>
      <c r="C20" s="52">
        <v>59.5</v>
      </c>
      <c r="D20" s="52">
        <v>300.5</v>
      </c>
      <c r="E20" s="53">
        <v>83</v>
      </c>
      <c r="F20" s="53" t="str">
        <f>IFERROR(VLOOKUP(B20,'Base de Dados'!Y5:Z41,2,0), "Outros")</f>
        <v>Outros</v>
      </c>
      <c r="V20" s="42">
        <v>299</v>
      </c>
      <c r="W20" s="42" t="str">
        <f>VLOOKUP(V20,'Base de Dados'!I7:J26,2,0)</f>
        <v>JEAZI</v>
      </c>
      <c r="X20" s="42">
        <v>0</v>
      </c>
    </row>
    <row r="21" spans="2:24" x14ac:dyDescent="0.25">
      <c r="B21" s="25" t="s">
        <v>42</v>
      </c>
      <c r="C21" s="52">
        <v>39.666666666666664</v>
      </c>
      <c r="D21" s="52">
        <v>80.333333333333329</v>
      </c>
      <c r="E21" s="53">
        <v>67</v>
      </c>
      <c r="F21" s="53" t="str">
        <f>IFERROR(VLOOKUP(B21,'Base de Dados'!Y6:Z42,2,0), "Outros")</f>
        <v>Outros</v>
      </c>
      <c r="V21" s="42">
        <v>680</v>
      </c>
      <c r="W21" s="42" t="str">
        <f>VLOOKUP(V21,'Base de Dados'!I9:J28,2,0)</f>
        <v>PERCIVAL</v>
      </c>
      <c r="X21" s="42">
        <v>0</v>
      </c>
    </row>
    <row r="22" spans="2:24" x14ac:dyDescent="0.25">
      <c r="B22" s="25" t="s">
        <v>47</v>
      </c>
      <c r="C22" s="52">
        <v>58.666666666666664</v>
      </c>
      <c r="D22" s="52">
        <v>61.333333333333336</v>
      </c>
      <c r="E22" s="53">
        <v>51</v>
      </c>
      <c r="F22" s="53" t="str">
        <f>IFERROR(VLOOKUP(B22,'Base de Dados'!Y7:Z43,2,0), "Outros")</f>
        <v>Carpet molding</v>
      </c>
    </row>
    <row r="23" spans="2:24" x14ac:dyDescent="0.25">
      <c r="B23" s="25" t="s">
        <v>53</v>
      </c>
      <c r="C23" s="52">
        <v>58.666666666666664</v>
      </c>
      <c r="D23" s="52">
        <v>61.333333333333336</v>
      </c>
      <c r="E23" s="53">
        <v>51</v>
      </c>
      <c r="F23" s="53" t="str">
        <f>IFERROR(VLOOKUP(B23,'Base de Dados'!Y8:Z44,2,0), "Outros")</f>
        <v>Hot pressing</v>
      </c>
    </row>
    <row r="24" spans="2:24" x14ac:dyDescent="0.25">
      <c r="B24" s="25" t="s">
        <v>59</v>
      </c>
      <c r="C24" s="52">
        <v>13.75</v>
      </c>
      <c r="D24" s="52">
        <v>166.25</v>
      </c>
      <c r="E24" s="53">
        <v>92</v>
      </c>
      <c r="F24" s="53" t="str">
        <f>IFERROR(VLOOKUP(B24,'Base de Dados'!Y9:Z45,2,0), "Outros")</f>
        <v>Hot pressing</v>
      </c>
    </row>
    <row r="25" spans="2:24" x14ac:dyDescent="0.25">
      <c r="B25" s="25" t="s">
        <v>66</v>
      </c>
      <c r="C25" s="52">
        <v>60</v>
      </c>
      <c r="D25" s="52">
        <v>660</v>
      </c>
      <c r="E25" s="53">
        <v>92</v>
      </c>
      <c r="F25" s="53" t="str">
        <f>IFERROR(VLOOKUP(B25,'Base de Dados'!Y10:Z46,2,0), "Outros")</f>
        <v>Outros</v>
      </c>
    </row>
    <row r="26" spans="2:24" x14ac:dyDescent="0.25">
      <c r="B26" s="25" t="s">
        <v>73</v>
      </c>
      <c r="C26" s="52">
        <v>33.666666666666664</v>
      </c>
      <c r="D26" s="52">
        <v>46.333333333333336</v>
      </c>
      <c r="E26" s="53">
        <v>58</v>
      </c>
      <c r="F26" s="53" t="str">
        <f>IFERROR(VLOOKUP(B26,'Base de Dados'!Y11:Z47,2,0), "Outros")</f>
        <v>Outros</v>
      </c>
    </row>
    <row r="27" spans="2:24" x14ac:dyDescent="0.25">
      <c r="B27" s="25" t="s">
        <v>79</v>
      </c>
      <c r="C27" s="52">
        <v>32.733333333333334</v>
      </c>
      <c r="D27" s="52">
        <v>15.266666666666667</v>
      </c>
      <c r="E27" s="53">
        <v>32</v>
      </c>
      <c r="F27" s="53" t="str">
        <f>IFERROR(VLOOKUP(B27,'Base de Dados'!Y12:Z48,2,0), "Outros")</f>
        <v>Outros</v>
      </c>
    </row>
    <row r="28" spans="2:24" x14ac:dyDescent="0.25">
      <c r="B28" s="25" t="s">
        <v>85</v>
      </c>
      <c r="C28" s="52">
        <v>32.733333333333334</v>
      </c>
      <c r="D28" s="52">
        <v>15.266666666666667</v>
      </c>
      <c r="E28" s="53">
        <v>32</v>
      </c>
      <c r="F28" s="53" t="str">
        <f>IFERROR(VLOOKUP(B28,'Base de Dados'!Y13:Z49,2,0), "Outros")</f>
        <v>Outros</v>
      </c>
    </row>
    <row r="29" spans="2:24" x14ac:dyDescent="0.25">
      <c r="B29" s="25" t="s">
        <v>152</v>
      </c>
      <c r="C29" s="52">
        <v>25</v>
      </c>
      <c r="D29" s="52">
        <v>335</v>
      </c>
      <c r="E29" s="53">
        <v>93</v>
      </c>
      <c r="F29" s="53" t="str">
        <f>IFERROR(VLOOKUP(B29,'Base de Dados'!Y14:Z50,2,0), "Outros")</f>
        <v>Hot pressing</v>
      </c>
    </row>
    <row r="30" spans="2:24" x14ac:dyDescent="0.25">
      <c r="B30" s="25" t="s">
        <v>162</v>
      </c>
      <c r="C30" s="52">
        <v>90</v>
      </c>
      <c r="D30" s="52">
        <v>270</v>
      </c>
      <c r="E30" s="53">
        <v>75</v>
      </c>
      <c r="F30" s="53" t="str">
        <f>IFERROR(VLOOKUP(B30,'Base de Dados'!Y15:Z51,2,0), "Outros")</f>
        <v>Hot pressing</v>
      </c>
    </row>
    <row r="31" spans="2:24" x14ac:dyDescent="0.25">
      <c r="B31" s="25" t="s">
        <v>240</v>
      </c>
      <c r="C31" s="52">
        <v>22.5</v>
      </c>
      <c r="D31" s="52">
        <v>337.5</v>
      </c>
      <c r="E31" s="53">
        <v>94</v>
      </c>
      <c r="F31" s="53" t="str">
        <f>IFERROR(VLOOKUP(B31,'Base de Dados'!Y16:Z52,2,0), "Outros")</f>
        <v>Outros</v>
      </c>
    </row>
    <row r="32" spans="2:24" x14ac:dyDescent="0.25">
      <c r="B32" s="25" t="s">
        <v>91</v>
      </c>
      <c r="C32" s="52">
        <v>25.5</v>
      </c>
      <c r="D32" s="52">
        <v>64.5</v>
      </c>
      <c r="E32" s="53">
        <v>72</v>
      </c>
      <c r="F32" s="53" t="str">
        <f>IFERROR(VLOOKUP(B32,'Base de Dados'!Y17:Z53,2,0), "Outros")</f>
        <v>Hot pressing</v>
      </c>
    </row>
    <row r="33" spans="2:6" x14ac:dyDescent="0.25">
      <c r="B33" s="25" t="s">
        <v>98</v>
      </c>
      <c r="C33" s="52">
        <v>34.125</v>
      </c>
      <c r="D33" s="52">
        <v>55.875</v>
      </c>
      <c r="E33" s="53">
        <v>62</v>
      </c>
      <c r="F33" s="53" t="str">
        <f>IFERROR(VLOOKUP(B33,'Base de Dados'!Y18:Z54,2,0), "Outros")</f>
        <v>Hot pressing</v>
      </c>
    </row>
    <row r="34" spans="2:6" x14ac:dyDescent="0.25">
      <c r="B34" s="25" t="s">
        <v>104</v>
      </c>
      <c r="C34" s="52">
        <v>46.909090909090907</v>
      </c>
      <c r="D34" s="52">
        <v>18.545454545454547</v>
      </c>
      <c r="E34" s="53">
        <v>28</v>
      </c>
      <c r="F34" s="53" t="str">
        <f>IFERROR(VLOOKUP(B34,'Base de Dados'!Y19:Z55,2,0), "Outros")</f>
        <v>Hot pressing</v>
      </c>
    </row>
    <row r="35" spans="2:6" x14ac:dyDescent="0.25">
      <c r="B35" s="25" t="s">
        <v>112</v>
      </c>
      <c r="C35" s="52">
        <v>58.736842105263158</v>
      </c>
      <c r="D35" s="52">
        <v>-20.842105263157894</v>
      </c>
      <c r="E35" s="53">
        <v>-55</v>
      </c>
      <c r="F35" s="53" t="str">
        <f>IFERROR(VLOOKUP(B35,'Base de Dados'!Y20:Z56,2,0), "Outros")</f>
        <v>Outros</v>
      </c>
    </row>
    <row r="36" spans="2:6" x14ac:dyDescent="0.25">
      <c r="B36" s="25" t="s">
        <v>118</v>
      </c>
      <c r="C36" s="52">
        <v>34.75</v>
      </c>
      <c r="D36" s="52">
        <v>145.25</v>
      </c>
      <c r="E36" s="53">
        <v>81</v>
      </c>
      <c r="F36" s="53" t="str">
        <f>IFERROR(VLOOKUP(B36,'Base de Dados'!Y21:Z57,2,0), "Outros")</f>
        <v>Outros</v>
      </c>
    </row>
    <row r="37" spans="2:6" x14ac:dyDescent="0.25">
      <c r="B37" s="25" t="s">
        <v>124</v>
      </c>
      <c r="C37" s="52">
        <v>28.4</v>
      </c>
      <c r="D37" s="52">
        <v>115.6</v>
      </c>
      <c r="E37" s="53">
        <v>80</v>
      </c>
      <c r="F37" s="53" t="str">
        <f>IFERROR(VLOOKUP(B37,'Base de Dados'!Y22:Z58,2,0), "Outros")</f>
        <v>Hot pressing</v>
      </c>
    </row>
    <row r="38" spans="2:6" x14ac:dyDescent="0.25">
      <c r="B38" s="25" t="s">
        <v>130</v>
      </c>
      <c r="C38" s="52">
        <v>29.333333333333332</v>
      </c>
      <c r="D38" s="52">
        <v>210.66666666666666</v>
      </c>
      <c r="E38" s="53">
        <v>88</v>
      </c>
      <c r="F38" s="53" t="str">
        <f>IFERROR(VLOOKUP(B38,'Base de Dados'!Y23:Z59,2,0), "Outros")</f>
        <v>Hot pressing</v>
      </c>
    </row>
    <row r="39" spans="2:6" x14ac:dyDescent="0.25">
      <c r="B39" s="25" t="s">
        <v>136</v>
      </c>
      <c r="C39" s="52">
        <v>18</v>
      </c>
      <c r="D39" s="52">
        <v>702</v>
      </c>
      <c r="E39" s="53">
        <v>98</v>
      </c>
      <c r="F39" s="53" t="str">
        <f>IFERROR(VLOOKUP(B39,'Base de Dados'!Y24:Z60,2,0), "Outros")</f>
        <v>Hot pressing</v>
      </c>
    </row>
    <row r="40" spans="2:6" x14ac:dyDescent="0.25">
      <c r="B40" s="25" t="s">
        <v>141</v>
      </c>
      <c r="C40" s="52">
        <v>23.681818181818183</v>
      </c>
      <c r="D40" s="52">
        <v>9.045454545454545</v>
      </c>
      <c r="E40" s="53">
        <v>28</v>
      </c>
      <c r="F40" s="53" t="str">
        <f>IFERROR(VLOOKUP(B40,'Base de Dados'!Y25:Z61,2,0), "Outros")</f>
        <v>Waterjet</v>
      </c>
    </row>
    <row r="41" spans="2:6" x14ac:dyDescent="0.25">
      <c r="B41" s="25" t="s">
        <v>145</v>
      </c>
      <c r="C41" s="52">
        <v>17.2</v>
      </c>
      <c r="D41" s="52">
        <v>54.8</v>
      </c>
      <c r="E41" s="53">
        <v>76</v>
      </c>
      <c r="F41" s="53" t="str">
        <f>IFERROR(VLOOKUP(B41,'Base de Dados'!Y26:Z62,2,0), "Outros")</f>
        <v>Outros</v>
      </c>
    </row>
    <row r="42" spans="2:6" x14ac:dyDescent="0.25">
      <c r="B42" s="25" t="s">
        <v>149</v>
      </c>
      <c r="C42" s="52">
        <v>20</v>
      </c>
      <c r="D42" s="52">
        <v>700</v>
      </c>
      <c r="E42" s="53">
        <v>97</v>
      </c>
      <c r="F42" s="53" t="str">
        <f>IFERROR(VLOOKUP(B42,'Base de Dados'!Y27:Z63,2,0), "Outros")</f>
        <v>Outros</v>
      </c>
    </row>
    <row r="43" spans="2:6" x14ac:dyDescent="0.25">
      <c r="B43" s="25" t="s">
        <v>154</v>
      </c>
      <c r="C43" s="52">
        <v>12</v>
      </c>
      <c r="D43" s="52">
        <v>708</v>
      </c>
      <c r="E43" s="53">
        <v>98</v>
      </c>
      <c r="F43" s="53" t="str">
        <f>IFERROR(VLOOKUP(B43,'Base de Dados'!Y28:Z64,2,0), "Outros")</f>
        <v>Outros</v>
      </c>
    </row>
    <row r="44" spans="2:6" x14ac:dyDescent="0.25">
      <c r="B44" s="25" t="s">
        <v>156</v>
      </c>
      <c r="C44" s="52">
        <v>33</v>
      </c>
      <c r="D44" s="52">
        <v>147</v>
      </c>
      <c r="E44" s="53">
        <v>82</v>
      </c>
      <c r="F44" s="53" t="str">
        <f>IFERROR(VLOOKUP(B44,'Base de Dados'!Y29:Z65,2,0), "Outros")</f>
        <v>Outros</v>
      </c>
    </row>
    <row r="45" spans="2:6" x14ac:dyDescent="0.25">
      <c r="B45" s="25" t="s">
        <v>158</v>
      </c>
      <c r="C45" s="52">
        <v>33</v>
      </c>
      <c r="D45" s="52">
        <v>147</v>
      </c>
      <c r="E45" s="53">
        <v>82</v>
      </c>
      <c r="F45" s="53" t="str">
        <f>IFERROR(VLOOKUP(B45,'Base de Dados'!Y30:Z66,2,0), "Outros")</f>
        <v>Outros</v>
      </c>
    </row>
    <row r="46" spans="2:6" x14ac:dyDescent="0.25">
      <c r="B46" s="25" t="s">
        <v>160</v>
      </c>
      <c r="C46" s="52">
        <v>33</v>
      </c>
      <c r="D46" s="52">
        <v>147</v>
      </c>
      <c r="E46" s="53">
        <v>82</v>
      </c>
      <c r="F46" s="53" t="str">
        <f>IFERROR(VLOOKUP(B46,'Base de Dados'!Y31:Z67,2,0), "Outros")</f>
        <v>Outros</v>
      </c>
    </row>
    <row r="47" spans="2:6" x14ac:dyDescent="0.25">
      <c r="B47" s="25" t="s">
        <v>166</v>
      </c>
      <c r="C47" s="52">
        <v>100</v>
      </c>
      <c r="D47" s="52">
        <v>260</v>
      </c>
      <c r="E47" s="53">
        <v>72</v>
      </c>
      <c r="F47" s="53" t="str">
        <f>IFERROR(VLOOKUP(B47,'Base de Dados'!Y32:Z68,2,0), "Outros")</f>
        <v>Outros</v>
      </c>
    </row>
    <row r="48" spans="2:6" x14ac:dyDescent="0.25">
      <c r="B48" s="25" t="s">
        <v>168</v>
      </c>
      <c r="C48" s="52">
        <v>25</v>
      </c>
      <c r="D48" s="52">
        <v>335</v>
      </c>
      <c r="E48" s="53">
        <v>93</v>
      </c>
      <c r="F48" s="53" t="str">
        <f>IFERROR(VLOOKUP(B48,'Base de Dados'!Y33:Z69,2,0), "Outros")</f>
        <v>Outros</v>
      </c>
    </row>
    <row r="49" spans="2:6" x14ac:dyDescent="0.25">
      <c r="B49" s="25" t="s">
        <v>170</v>
      </c>
      <c r="C49" s="52">
        <v>40</v>
      </c>
      <c r="D49" s="52">
        <v>680</v>
      </c>
      <c r="E49" s="53">
        <v>94</v>
      </c>
      <c r="F49" s="53" t="str">
        <f>IFERROR(VLOOKUP(B49,'Base de Dados'!Y34:Z70,2,0), "Outros")</f>
        <v>Outros</v>
      </c>
    </row>
    <row r="50" spans="2:6" x14ac:dyDescent="0.25">
      <c r="B50" s="25" t="s">
        <v>172</v>
      </c>
      <c r="C50" s="52">
        <v>58.25</v>
      </c>
      <c r="D50" s="52">
        <v>121.75</v>
      </c>
      <c r="E50" s="53">
        <v>68</v>
      </c>
      <c r="F50" s="53" t="str">
        <f>IFERROR(VLOOKUP(B50,'Base de Dados'!Y35:Z71,2,0), "Outros")</f>
        <v>Outros</v>
      </c>
    </row>
    <row r="51" spans="2:6" x14ac:dyDescent="0.25">
      <c r="B51" s="25" t="s">
        <v>175</v>
      </c>
      <c r="C51" s="52">
        <v>12.333333333333334</v>
      </c>
      <c r="D51" s="52">
        <v>107.66666666666667</v>
      </c>
      <c r="E51" s="53">
        <v>90</v>
      </c>
      <c r="F51" s="53" t="str">
        <f>IFERROR(VLOOKUP(B51,'Base de Dados'!Y36:Z72,2,0), "Outros")</f>
        <v>Outros</v>
      </c>
    </row>
    <row r="52" spans="2:6" x14ac:dyDescent="0.25">
      <c r="B52" s="25" t="s">
        <v>177</v>
      </c>
      <c r="C52" s="52">
        <v>81.75</v>
      </c>
      <c r="D52" s="52">
        <v>98.25</v>
      </c>
      <c r="E52" s="53">
        <v>55</v>
      </c>
      <c r="F52" s="53" t="str">
        <f>IFERROR(VLOOKUP(B52,'Base de Dados'!Y37:Z73,2,0), "Outros")</f>
        <v>Outros</v>
      </c>
    </row>
    <row r="53" spans="2:6" x14ac:dyDescent="0.25">
      <c r="B53" s="25" t="s">
        <v>179</v>
      </c>
      <c r="C53" s="52">
        <v>81.75</v>
      </c>
      <c r="D53" s="52">
        <v>98.25</v>
      </c>
      <c r="E53" s="53">
        <v>55</v>
      </c>
      <c r="F53" s="53" t="str">
        <f>IFERROR(VLOOKUP(B53,'Base de Dados'!Y38:Z74,2,0), "Outros")</f>
        <v>Outros</v>
      </c>
    </row>
    <row r="54" spans="2:6" x14ac:dyDescent="0.25">
      <c r="B54" s="25" t="s">
        <v>181</v>
      </c>
      <c r="C54" s="52">
        <v>37</v>
      </c>
      <c r="D54" s="52">
        <v>107</v>
      </c>
      <c r="E54" s="53">
        <v>74</v>
      </c>
      <c r="F54" s="53" t="str">
        <f>IFERROR(VLOOKUP(B54,'Base de Dados'!Y39:Z75,2,0), "Outros")</f>
        <v>Outros</v>
      </c>
    </row>
    <row r="55" spans="2:6" x14ac:dyDescent="0.25">
      <c r="B55" s="25" t="s">
        <v>183</v>
      </c>
      <c r="C55" s="52">
        <v>16.555555555555557</v>
      </c>
      <c r="D55" s="52">
        <v>63.444444444444443</v>
      </c>
      <c r="E55" s="53">
        <v>79</v>
      </c>
      <c r="F55" s="53" t="str">
        <f>IFERROR(VLOOKUP(B55,'Base de Dados'!Y40:Z76,2,0), "Outros")</f>
        <v>Outros</v>
      </c>
    </row>
    <row r="56" spans="2:6" x14ac:dyDescent="0.25">
      <c r="B56" s="25" t="s">
        <v>185</v>
      </c>
      <c r="C56" s="52">
        <v>26.176470588235293</v>
      </c>
      <c r="D56" s="52">
        <v>16.176470588235293</v>
      </c>
      <c r="E56" s="53">
        <v>38</v>
      </c>
      <c r="F56" s="53" t="str">
        <f>IFERROR(VLOOKUP(B56,'Base de Dados'!Y41:Z77,2,0), "Outros")</f>
        <v>Outros</v>
      </c>
    </row>
    <row r="57" spans="2:6" x14ac:dyDescent="0.25">
      <c r="B57" s="25" t="s">
        <v>187</v>
      </c>
      <c r="C57" s="52">
        <v>26.176470588235293</v>
      </c>
      <c r="D57" s="52">
        <v>16.176470588235293</v>
      </c>
      <c r="E57" s="53">
        <v>38</v>
      </c>
      <c r="F57" s="53" t="str">
        <f>IFERROR(VLOOKUP(B57,'Base de Dados'!Y42:Z78,2,0), "Outros")</f>
        <v>Outros</v>
      </c>
    </row>
    <row r="58" spans="2:6" x14ac:dyDescent="0.25">
      <c r="B58" s="25" t="s">
        <v>241</v>
      </c>
      <c r="C58" s="52">
        <v>26.176470588235293</v>
      </c>
      <c r="D58" s="52">
        <v>16.176470588235293</v>
      </c>
      <c r="E58" s="53">
        <v>38</v>
      </c>
      <c r="F58" s="53" t="str">
        <f>IFERROR(VLOOKUP(B58,'Base de Dados'!Y43:Z79,2,0), "Outros")</f>
        <v>Outros</v>
      </c>
    </row>
    <row r="59" spans="2:6" x14ac:dyDescent="0.25">
      <c r="B59" s="25" t="s">
        <v>242</v>
      </c>
      <c r="C59" s="52">
        <v>26.176470588235293</v>
      </c>
      <c r="D59" s="52">
        <v>16.176470588235293</v>
      </c>
      <c r="E59" s="53">
        <v>38</v>
      </c>
      <c r="F59" s="53" t="str">
        <f>IFERROR(VLOOKUP(B59,'Base de Dados'!Y44:Z80,2,0), "Outros")</f>
        <v>Outros</v>
      </c>
    </row>
    <row r="60" spans="2:6" x14ac:dyDescent="0.25">
      <c r="B60" s="25" t="s">
        <v>243</v>
      </c>
      <c r="C60" s="52">
        <v>26.176470588235293</v>
      </c>
      <c r="D60" s="52">
        <v>16.176470588235293</v>
      </c>
      <c r="E60" s="53">
        <v>38</v>
      </c>
      <c r="F60" s="53" t="str">
        <f>IFERROR(VLOOKUP(B60,'Base de Dados'!Y45:Z81,2,0), "Outros")</f>
        <v>Outros</v>
      </c>
    </row>
    <row r="61" spans="2:6" x14ac:dyDescent="0.25">
      <c r="B61" s="25" t="s">
        <v>244</v>
      </c>
      <c r="C61" s="52">
        <v>26.176470588235293</v>
      </c>
      <c r="D61" s="52">
        <v>16.176470588235293</v>
      </c>
      <c r="E61" s="53">
        <v>38</v>
      </c>
      <c r="F61" s="53" t="str">
        <f>IFERROR(VLOOKUP(B61,'Base de Dados'!Y46:Z82,2,0), "Outros")</f>
        <v>Outros</v>
      </c>
    </row>
    <row r="62" spans="2:6" x14ac:dyDescent="0.25">
      <c r="B62" s="25" t="s">
        <v>245</v>
      </c>
      <c r="C62" s="52">
        <v>26.176470588235293</v>
      </c>
      <c r="D62" s="52">
        <v>16.176470588235293</v>
      </c>
      <c r="E62" s="53">
        <v>38</v>
      </c>
      <c r="F62" s="53" t="str">
        <f>IFERROR(VLOOKUP(B62,'Base de Dados'!Y47:Z83,2,0), "Outros")</f>
        <v>Outros</v>
      </c>
    </row>
    <row r="63" spans="2:6" x14ac:dyDescent="0.25">
      <c r="B63" s="25" t="s">
        <v>246</v>
      </c>
      <c r="C63" s="52">
        <v>26.176470588235293</v>
      </c>
      <c r="D63" s="52">
        <v>16.176470588235293</v>
      </c>
      <c r="E63" s="53">
        <v>38</v>
      </c>
      <c r="F63" s="53" t="str">
        <f>IFERROR(VLOOKUP(B63,'Base de Dados'!Y48:Z84,2,0), "Outros")</f>
        <v>Outros</v>
      </c>
    </row>
    <row r="64" spans="2:6" x14ac:dyDescent="0.25">
      <c r="B64" s="25" t="s">
        <v>247</v>
      </c>
      <c r="C64" s="52">
        <v>26.176470588235293</v>
      </c>
      <c r="D64" s="52">
        <v>16.176470588235293</v>
      </c>
      <c r="E64" s="53">
        <v>38</v>
      </c>
      <c r="F64" s="53" t="str">
        <f>IFERROR(VLOOKUP(B64,'Base de Dados'!Y49:Z85,2,0), "Outros")</f>
        <v>Outros</v>
      </c>
    </row>
    <row r="65" spans="2:6" x14ac:dyDescent="0.25">
      <c r="B65" s="25" t="s">
        <v>248</v>
      </c>
      <c r="C65" s="52">
        <v>26.176470588235293</v>
      </c>
      <c r="D65" s="52">
        <v>16.176470588235293</v>
      </c>
      <c r="E65" s="53">
        <v>38</v>
      </c>
      <c r="F65" s="53" t="str">
        <f>IFERROR(VLOOKUP(B65,'Base de Dados'!Y50:Z86,2,0), "Outros")</f>
        <v>Outros</v>
      </c>
    </row>
    <row r="66" spans="2:6" x14ac:dyDescent="0.25">
      <c r="B66" s="25" t="s">
        <v>249</v>
      </c>
      <c r="C66" s="52">
        <v>26.176470588235293</v>
      </c>
      <c r="D66" s="52">
        <v>16.176470588235293</v>
      </c>
      <c r="E66" s="53">
        <v>38</v>
      </c>
      <c r="F66" s="53" t="str">
        <f>IFERROR(VLOOKUP(B66,'Base de Dados'!Y51:Z87,2,0), "Outros")</f>
        <v>Outros</v>
      </c>
    </row>
    <row r="67" spans="2:6" x14ac:dyDescent="0.25">
      <c r="B67" s="25" t="s">
        <v>251</v>
      </c>
      <c r="C67" s="52">
        <v>26.176470588235293</v>
      </c>
      <c r="D67" s="52">
        <v>16.176470588235293</v>
      </c>
      <c r="E67" s="53">
        <v>38</v>
      </c>
      <c r="F67" s="53" t="str">
        <f>IFERROR(VLOOKUP(B67,'Base de Dados'!Y52:Z88,2,0), "Outros")</f>
        <v>Outros</v>
      </c>
    </row>
    <row r="68" spans="2:6" x14ac:dyDescent="0.25">
      <c r="B68" s="25" t="s">
        <v>253</v>
      </c>
      <c r="C68" s="52">
        <v>26.176470588235293</v>
      </c>
      <c r="D68" s="52">
        <v>16.176470588235293</v>
      </c>
      <c r="E68" s="53">
        <v>38</v>
      </c>
      <c r="F68" s="53" t="str">
        <f>IFERROR(VLOOKUP(B68,'Base de Dados'!Y53:Z89,2,0), "Outros")</f>
        <v>Outros</v>
      </c>
    </row>
    <row r="69" spans="2:6" x14ac:dyDescent="0.25">
      <c r="B69" s="25" t="s">
        <v>250</v>
      </c>
      <c r="C69" s="52">
        <v>26.777777777777779</v>
      </c>
      <c r="D69" s="52">
        <v>53.222222222222221</v>
      </c>
      <c r="E69" s="53">
        <v>67</v>
      </c>
      <c r="F69" s="53" t="str">
        <f>IFERROR(VLOOKUP(B69,'Base de Dados'!Y54:Z90,2,0), "Outros")</f>
        <v>Outros</v>
      </c>
    </row>
  </sheetData>
  <sortState ref="V1:X21">
    <sortCondition descending="1" ref="X2:X21"/>
  </sortState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W10"/>
  <sheetViews>
    <sheetView showGridLines="0" showRowColHeaders="0" topLeftCell="A4" workbookViewId="0">
      <selection activeCell="J11" sqref="J11"/>
    </sheetView>
  </sheetViews>
  <sheetFormatPr defaultRowHeight="15" x14ac:dyDescent="0.25"/>
  <cols>
    <col min="1" max="1" width="6" customWidth="1"/>
    <col min="2" max="2" width="9" customWidth="1"/>
    <col min="3" max="3" width="13.28515625" customWidth="1"/>
    <col min="4" max="4" width="9" customWidth="1"/>
    <col min="5" max="5" width="2.85546875" customWidth="1"/>
    <col min="6" max="6" width="9" customWidth="1"/>
    <col min="7" max="7" width="13.28515625" customWidth="1"/>
    <col min="8" max="8" width="9" customWidth="1"/>
    <col min="9" max="9" width="3.28515625" customWidth="1"/>
    <col min="10" max="10" width="9" customWidth="1"/>
    <col min="11" max="11" width="13.28515625" customWidth="1"/>
    <col min="12" max="12" width="9" customWidth="1"/>
    <col min="13" max="13" width="3" customWidth="1"/>
    <col min="14" max="14" width="9" customWidth="1"/>
    <col min="15" max="15" width="13.28515625" customWidth="1"/>
    <col min="16" max="16" width="9" customWidth="1"/>
    <col min="17" max="17" width="3.7109375" customWidth="1"/>
    <col min="20" max="20" width="8.7109375" customWidth="1"/>
    <col min="21" max="21" width="8.140625" customWidth="1"/>
    <col min="23" max="23" width="3.140625" customWidth="1"/>
  </cols>
  <sheetData>
    <row r="1" spans="1:23" s="28" customFormat="1" ht="37.5" customHeight="1" x14ac:dyDescent="0.35">
      <c r="A1" s="105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Novembro de 2022</v>
      </c>
      <c r="B1" s="105"/>
      <c r="C1" s="105"/>
      <c r="D1" s="105"/>
      <c r="E1" s="105"/>
      <c r="F1" s="105"/>
      <c r="I1" s="102" t="s">
        <v>261</v>
      </c>
      <c r="J1" s="102"/>
      <c r="K1" s="102"/>
      <c r="L1" s="102"/>
      <c r="M1" s="102"/>
      <c r="Q1" s="101" t="s">
        <v>308</v>
      </c>
      <c r="R1" s="101"/>
      <c r="S1" s="101"/>
      <c r="T1" s="101"/>
      <c r="U1" s="101"/>
      <c r="V1" s="101"/>
      <c r="W1" s="101"/>
    </row>
    <row r="2" spans="1:23" ht="8.25" customHeight="1" x14ac:dyDescent="0.25">
      <c r="A2" s="104"/>
      <c r="B2" s="104"/>
      <c r="C2" s="104"/>
      <c r="D2" s="104"/>
      <c r="F2" t="s">
        <v>295</v>
      </c>
      <c r="J2" s="34">
        <f ca="1">IFERROR(VLOOKUP(mes,tabela_mes,4,0),0)</f>
        <v>30</v>
      </c>
    </row>
    <row r="3" spans="1:23" ht="17.25" customHeight="1" x14ac:dyDescent="0.25">
      <c r="A3" s="103"/>
      <c r="B3" s="103"/>
      <c r="C3" s="103"/>
      <c r="D3" s="103"/>
      <c r="E3" s="38"/>
      <c r="F3" s="29" t="s">
        <v>265</v>
      </c>
      <c r="G3" s="31">
        <v>2022</v>
      </c>
      <c r="H3" s="29" t="s">
        <v>264</v>
      </c>
      <c r="I3" s="64" t="s">
        <v>293</v>
      </c>
      <c r="J3" s="65"/>
      <c r="K3" s="29" t="s">
        <v>267</v>
      </c>
      <c r="L3" s="64"/>
      <c r="M3" s="65"/>
      <c r="N3" s="29" t="s">
        <v>266</v>
      </c>
      <c r="O3" s="31" t="s">
        <v>538</v>
      </c>
    </row>
    <row r="4" spans="1:23" ht="15.75" x14ac:dyDescent="0.25">
      <c r="S4" s="75" t="s">
        <v>539</v>
      </c>
      <c r="T4" s="75"/>
      <c r="U4" s="75"/>
      <c r="V4" s="75"/>
    </row>
    <row r="5" spans="1:23" x14ac:dyDescent="0.25">
      <c r="R5" s="61" t="s">
        <v>282</v>
      </c>
      <c r="S5" s="62"/>
      <c r="T5" s="63"/>
      <c r="U5" s="64"/>
      <c r="V5" s="65"/>
    </row>
    <row r="6" spans="1:23" x14ac:dyDescent="0.25">
      <c r="B6" s="76" t="s">
        <v>262</v>
      </c>
      <c r="C6" s="77"/>
      <c r="D6" s="78"/>
      <c r="F6" s="79" t="s">
        <v>263</v>
      </c>
      <c r="G6" s="80"/>
      <c r="H6" s="81"/>
      <c r="J6" s="82" t="s">
        <v>544</v>
      </c>
      <c r="K6" s="83"/>
      <c r="L6" s="84"/>
      <c r="N6" s="66" t="s">
        <v>272</v>
      </c>
      <c r="O6" s="67"/>
      <c r="P6" s="68"/>
      <c r="R6" s="61" t="s">
        <v>540</v>
      </c>
      <c r="S6" s="62"/>
      <c r="T6" s="63"/>
      <c r="U6" s="64"/>
      <c r="V6" s="65"/>
    </row>
    <row r="7" spans="1:23" x14ac:dyDescent="0.25">
      <c r="B7" s="85" t="str">
        <f>ROUND(Calculos!C3,2) &amp; " " &amp; Calculos!D3</f>
        <v>37,04 min</v>
      </c>
      <c r="C7" s="86"/>
      <c r="D7" s="87"/>
      <c r="F7" s="91" t="str">
        <f>ROUND(Calculos!C4,2) &amp; " " &amp; Calculos!D4</f>
        <v>157,68 hrs</v>
      </c>
      <c r="G7" s="86"/>
      <c r="H7" s="92"/>
      <c r="J7" s="96" t="str">
        <f>Calculos!C5 &amp; " " &amp; Calculos!D5</f>
        <v xml:space="preserve"> min</v>
      </c>
      <c r="K7" s="86"/>
      <c r="L7" s="97"/>
      <c r="N7" s="69">
        <f>Calculos!C6</f>
        <v>0.62961538461538458</v>
      </c>
      <c r="O7" s="70"/>
      <c r="P7" s="71"/>
      <c r="R7" s="61" t="s">
        <v>541</v>
      </c>
      <c r="S7" s="62"/>
      <c r="T7" s="63"/>
      <c r="U7" s="64"/>
      <c r="V7" s="65"/>
    </row>
    <row r="8" spans="1:23" x14ac:dyDescent="0.25">
      <c r="B8" s="88"/>
      <c r="C8" s="89"/>
      <c r="D8" s="90"/>
      <c r="F8" s="93"/>
      <c r="G8" s="94"/>
      <c r="H8" s="95"/>
      <c r="J8" s="98"/>
      <c r="K8" s="99"/>
      <c r="L8" s="100"/>
      <c r="N8" s="72"/>
      <c r="O8" s="73"/>
      <c r="P8" s="74"/>
      <c r="R8" s="61" t="s">
        <v>542</v>
      </c>
      <c r="S8" s="62"/>
      <c r="T8" s="63"/>
      <c r="U8" s="64"/>
      <c r="V8" s="65"/>
    </row>
    <row r="9" spans="1:23" ht="15" customHeight="1" x14ac:dyDescent="0.25">
      <c r="R9" s="61" t="s">
        <v>543</v>
      </c>
      <c r="S9" s="62"/>
      <c r="T9" s="63"/>
      <c r="U9" s="64"/>
      <c r="V9" s="65"/>
    </row>
    <row r="10" spans="1:23" ht="15" customHeight="1" x14ac:dyDescent="0.25">
      <c r="R10" s="61" t="s">
        <v>545</v>
      </c>
      <c r="S10" s="62"/>
      <c r="T10" s="63"/>
      <c r="U10" s="64"/>
      <c r="V10" s="65"/>
    </row>
  </sheetData>
  <mergeCells count="28">
    <mergeCell ref="Q1:W1"/>
    <mergeCell ref="I1:M1"/>
    <mergeCell ref="A3:D3"/>
    <mergeCell ref="A2:D2"/>
    <mergeCell ref="A1:F1"/>
    <mergeCell ref="I3:J3"/>
    <mergeCell ref="B6:D6"/>
    <mergeCell ref="F6:H6"/>
    <mergeCell ref="J6:L6"/>
    <mergeCell ref="B7:D8"/>
    <mergeCell ref="F7:H8"/>
    <mergeCell ref="J7:L8"/>
    <mergeCell ref="R10:T10"/>
    <mergeCell ref="U10:V10"/>
    <mergeCell ref="L3:M3"/>
    <mergeCell ref="N6:P6"/>
    <mergeCell ref="N7:P8"/>
    <mergeCell ref="R9:T9"/>
    <mergeCell ref="U9:V9"/>
    <mergeCell ref="R6:T6"/>
    <mergeCell ref="U6:V6"/>
    <mergeCell ref="R7:T7"/>
    <mergeCell ref="U7:V7"/>
    <mergeCell ref="R8:T8"/>
    <mergeCell ref="U8:V8"/>
    <mergeCell ref="U5:V5"/>
    <mergeCell ref="R5:T5"/>
    <mergeCell ref="S4:V4"/>
  </mergeCells>
  <dataValidations count="2">
    <dataValidation type="whole" showInputMessage="1" showErrorMessage="1" errorTitle="Atenção !!" error="O campo não pode ficar vasio!_x000a_" sqref="G3 U5:U10">
      <formula1>2000</formula1>
      <formula2>2033</formula2>
    </dataValidation>
    <dataValidation type="whole" allowBlank="1" showInputMessage="1" showErrorMessage="1" errorTitle="Erro de Data" error="O mês selecionado não em este dia!!" sqref="L3:M3">
      <formula1>1</formula1>
      <formula2>J2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de Dados'!$M$23:$M$26</xm:f>
          </x14:formula1>
          <xm:sqref>O3</xm:sqref>
        </x14:dataValidation>
        <x14:dataValidation type="list" allowBlank="1" showInputMessage="1" showErrorMessage="1">
          <x14:formula1>
            <xm:f>'Base de Dados'!$F$24:$F$35</xm:f>
          </x14:formula1>
          <xm:sqref>I3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T8"/>
  <sheetViews>
    <sheetView showGridLines="0" showRowColHeaders="0" topLeftCell="A4" workbookViewId="0">
      <selection activeCell="R14" sqref="R14"/>
    </sheetView>
  </sheetViews>
  <sheetFormatPr defaultRowHeight="15" x14ac:dyDescent="0.25"/>
  <cols>
    <col min="1" max="2" width="6" customWidth="1"/>
    <col min="3" max="3" width="13.140625" customWidth="1"/>
    <col min="4" max="4" width="13.28515625" customWidth="1"/>
    <col min="5" max="6" width="9" customWidth="1"/>
    <col min="7" max="7" width="8.7109375" customWidth="1"/>
    <col min="8" max="9" width="9" customWidth="1"/>
    <col min="10" max="10" width="13.28515625" customWidth="1"/>
    <col min="11" max="11" width="9" customWidth="1"/>
    <col min="12" max="12" width="3" customWidth="1"/>
    <col min="13" max="13" width="18.42578125" customWidth="1"/>
    <col min="14" max="14" width="13.28515625" customWidth="1"/>
    <col min="15" max="15" width="9" customWidth="1"/>
    <col min="16" max="16" width="3.7109375" customWidth="1"/>
    <col min="17" max="17" width="8.7109375" customWidth="1"/>
    <col min="18" max="18" width="8.140625" customWidth="1"/>
    <col min="19" max="19" width="18.28515625" customWidth="1"/>
    <col min="20" max="20" width="3.140625" customWidth="1"/>
  </cols>
  <sheetData>
    <row r="1" spans="1:20" s="28" customFormat="1" ht="37.5" customHeight="1" x14ac:dyDescent="0.35">
      <c r="A1" s="105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quarta-feira, 30 de novembro de 2022</v>
      </c>
      <c r="B1" s="105"/>
      <c r="C1" s="105"/>
      <c r="D1" s="105"/>
      <c r="E1" s="105"/>
      <c r="F1" s="105"/>
      <c r="I1" s="113" t="s">
        <v>546</v>
      </c>
      <c r="J1" s="113"/>
      <c r="K1" s="113"/>
      <c r="L1" s="113"/>
      <c r="P1" s="101" t="s">
        <v>308</v>
      </c>
      <c r="Q1" s="101"/>
      <c r="R1" s="101"/>
      <c r="S1" s="101"/>
      <c r="T1" s="101"/>
    </row>
    <row r="2" spans="1:20" ht="16.5" customHeight="1" x14ac:dyDescent="0.25">
      <c r="A2" s="104"/>
      <c r="B2" s="104"/>
      <c r="C2" s="104"/>
      <c r="D2" s="104"/>
      <c r="E2" s="104"/>
      <c r="F2" s="34">
        <f ca="1">IFERROR(VLOOKUP(mes,tabela_mes,4,0),0)</f>
        <v>30</v>
      </c>
    </row>
    <row r="3" spans="1:20" x14ac:dyDescent="0.25">
      <c r="D3" s="29" t="s">
        <v>265</v>
      </c>
      <c r="E3" s="31">
        <v>2022</v>
      </c>
      <c r="F3" s="40" t="s">
        <v>264</v>
      </c>
      <c r="G3" s="39" t="s">
        <v>293</v>
      </c>
      <c r="H3" s="29" t="s">
        <v>267</v>
      </c>
      <c r="I3" s="39">
        <v>30</v>
      </c>
      <c r="J3" s="29" t="s">
        <v>266</v>
      </c>
      <c r="K3" s="31" t="s">
        <v>538</v>
      </c>
      <c r="M3" s="29" t="s">
        <v>549</v>
      </c>
      <c r="N3" s="31">
        <v>15</v>
      </c>
    </row>
    <row r="5" spans="1:20" ht="18" customHeight="1" x14ac:dyDescent="0.25"/>
    <row r="6" spans="1:20" ht="20.25" customHeight="1" x14ac:dyDescent="0.25">
      <c r="D6" s="41"/>
      <c r="N6" s="112" t="s">
        <v>556</v>
      </c>
      <c r="O6" s="112"/>
      <c r="P6" s="112"/>
      <c r="Q6" s="112"/>
      <c r="R6" s="112"/>
    </row>
    <row r="7" spans="1:20" ht="23.25" customHeight="1" x14ac:dyDescent="0.3">
      <c r="N7" s="106" t="str">
        <f>IFERROR(VLOOKUP(matricula,'Base de Dados'!I2:J21,2,0),"")</f>
        <v>ROBERT</v>
      </c>
      <c r="O7" s="107"/>
      <c r="P7" s="107"/>
      <c r="Q7" s="107"/>
      <c r="R7" s="108"/>
    </row>
    <row r="8" spans="1:20" ht="23.25" x14ac:dyDescent="0.25">
      <c r="N8" s="109" t="s">
        <v>566</v>
      </c>
      <c r="O8" s="110"/>
      <c r="P8" s="110"/>
      <c r="Q8" s="110"/>
      <c r="R8" s="111"/>
    </row>
  </sheetData>
  <mergeCells count="7">
    <mergeCell ref="N7:R7"/>
    <mergeCell ref="N8:R8"/>
    <mergeCell ref="N6:R6"/>
    <mergeCell ref="A1:F1"/>
    <mergeCell ref="I1:L1"/>
    <mergeCell ref="P1:T1"/>
    <mergeCell ref="A2:E2"/>
  </mergeCells>
  <dataValidations count="2">
    <dataValidation type="whole" allowBlank="1" showInputMessage="1" showErrorMessage="1" errorTitle="Erro de Data" error="O mês selecionado não em este dia!!" sqref="I3">
      <formula1>1</formula1>
      <formula2>F2</formula2>
    </dataValidation>
    <dataValidation type="whole" showInputMessage="1" showErrorMessage="1" errorTitle="Atenção !!" error="O campo não pode ficar vasio!_x000a_" sqref="E3">
      <formula1>2000</formula1>
      <formula2>2033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'Base de Dados'!$M$23:$M$26</xm:f>
          </x14:formula1>
          <xm:sqref>K3</xm:sqref>
        </x14:dataValidation>
        <x14:dataValidation type="list" showInputMessage="1" showErrorMessage="1">
          <x14:formula1>
            <xm:f>'Base de Dados'!$I$2:$I$21</xm:f>
          </x14:formula1>
          <xm:sqref>N3</xm:sqref>
        </x14:dataValidation>
        <x14:dataValidation type="list" allowBlank="1" showInputMessage="1" showErrorMessage="1">
          <x14:formula1>
            <xm:f>'Base de Dados'!$F$24:$F$35</xm:f>
          </x14:formula1>
          <xm:sqref>G3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40</vt:i4>
      </vt:variant>
    </vt:vector>
  </HeadingPairs>
  <TitlesOfParts>
    <vt:vector size="46" baseType="lpstr">
      <vt:lpstr>Base de Dados</vt:lpstr>
      <vt:lpstr>Registro</vt:lpstr>
      <vt:lpstr>Tempo de Produção</vt:lpstr>
      <vt:lpstr>Calculos</vt:lpstr>
      <vt:lpstr>Indicadores</vt:lpstr>
      <vt:lpstr>Tempo de Serviço</vt:lpstr>
      <vt:lpstr>'Tempo de Serviço'!ano</vt:lpstr>
      <vt:lpstr>ano</vt:lpstr>
      <vt:lpstr>cod_Causa</vt:lpstr>
      <vt:lpstr>ContagemTempoParadasInd</vt:lpstr>
      <vt:lpstr>'Tempo de Serviço'!dia</vt:lpstr>
      <vt:lpstr>dia</vt:lpstr>
      <vt:lpstr>fimMes</vt:lpstr>
      <vt:lpstr>manutencistas</vt:lpstr>
      <vt:lpstr>mat_name</vt:lpstr>
      <vt:lpstr>matricula</vt:lpstr>
      <vt:lpstr>matriculas</vt:lpstr>
      <vt:lpstr>'Tempo de Serviço'!mes</vt:lpstr>
      <vt:lpstr>mes</vt:lpstr>
      <vt:lpstr>mtbf</vt:lpstr>
      <vt:lpstr>mtbf_cm</vt:lpstr>
      <vt:lpstr>mtbf_hp</vt:lpstr>
      <vt:lpstr>mtbf_lwf</vt:lpstr>
      <vt:lpstr>mtbf_pur</vt:lpstr>
      <vt:lpstr>mtbf_unidade</vt:lpstr>
      <vt:lpstr>mtbf_wj</vt:lpstr>
      <vt:lpstr>mttr</vt:lpstr>
      <vt:lpstr>mttr_cm</vt:lpstr>
      <vt:lpstr>mttr_hp</vt:lpstr>
      <vt:lpstr>mttr_lwf</vt:lpstr>
      <vt:lpstr>mttr_pur</vt:lpstr>
      <vt:lpstr>mttr_unidade</vt:lpstr>
      <vt:lpstr>mttr_wj</vt:lpstr>
      <vt:lpstr>serviceTime</vt:lpstr>
      <vt:lpstr>SetupNumber</vt:lpstr>
      <vt:lpstr>SomaTempoParada</vt:lpstr>
      <vt:lpstr>SomaTempoParadaInd</vt:lpstr>
      <vt:lpstr>SomaTempoSetup</vt:lpstr>
      <vt:lpstr>tabela_mes</vt:lpstr>
      <vt:lpstr>tableCase</vt:lpstr>
      <vt:lpstr>tags</vt:lpstr>
      <vt:lpstr>TagsIndicators</vt:lpstr>
      <vt:lpstr>tempos</vt:lpstr>
      <vt:lpstr>time_WJ</vt:lpstr>
      <vt:lpstr>'Tempo de Serviço'!turno</vt:lpstr>
      <vt:lpstr>turno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Manutenção Pernambuco</cp:lastModifiedBy>
  <dcterms:created xsi:type="dcterms:W3CDTF">2023-01-09T12:35:51Z</dcterms:created>
  <dcterms:modified xsi:type="dcterms:W3CDTF">2023-01-17T15:02:09Z</dcterms:modified>
</cp:coreProperties>
</file>