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MaintenanceIndicators\"/>
    </mc:Choice>
  </mc:AlternateContent>
  <bookViews>
    <workbookView xWindow="-120" yWindow="-120" windowWidth="20730" windowHeight="11310" activeTab="4"/>
  </bookViews>
  <sheets>
    <sheet name="Base de Dados" sheetId="1" r:id="rId1"/>
    <sheet name="Tempo de Produção" sheetId="7" r:id="rId2"/>
    <sheet name="Registro" sheetId="2" r:id="rId3"/>
    <sheet name="Calculos" sheetId="4" r:id="rId4"/>
    <sheet name="Indicadores" sheetId="3" r:id="rId5"/>
    <sheet name="Tempo de Serviço" sheetId="6" r:id="rId6"/>
  </sheets>
  <functionGroups builtInGroupCount="18"/>
  <definedNames>
    <definedName name="_xlnm._FilterDatabase" localSheetId="3" hidden="1">Calculos!$B$16:$F$116</definedName>
    <definedName name="a">Calculos!#REF!</definedName>
    <definedName name="ano" localSheetId="5">'Tempo de Serviço'!$E$3</definedName>
    <definedName name="ano">Indicadores!$G$3</definedName>
    <definedName name="breakdown">Calculos!$C$5</definedName>
    <definedName name="cod_Causa">'Base de Dados'!$O$2:$O$21</definedName>
    <definedName name="ContagemParadaGeral">Calculos!#REF!</definedName>
    <definedName name="ContagemTempoParadasInd">Calculos!#REF!</definedName>
    <definedName name="ContagemTempoSetupInd">Calculos!#REF!</definedName>
    <definedName name="dia" localSheetId="5">'Tempo de Serviço'!$I$3</definedName>
    <definedName name="dia">Indicadores!$L$3</definedName>
    <definedName name="fimMes" localSheetId="5">'Tempo de Serviço'!#REF!</definedName>
    <definedName name="fimMes">Indicadores!$J$2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Calculos!$V$2:$V$21</definedName>
    <definedName name="mes" localSheetId="5">'Tempo de Serviço'!$G$3</definedName>
    <definedName name="mes">Indicadores!$I$3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unidade">Calculos!$D$4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unidade">Calculos!$D$3</definedName>
    <definedName name="mttr_wj">Calculos!$D$13</definedName>
    <definedName name="QQ">Calculos!$C$5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Calculos!$S$11</definedName>
    <definedName name="SomaTempoParada_Manut">Calculos!#REF!</definedName>
    <definedName name="SomaTempoParadaInd">Calculos!#REF!</definedName>
    <definedName name="SomaTempoSetup">Calculos!$T$11</definedName>
    <definedName name="SomaTempoSetup_Manut">Calculos!#REF!</definedName>
    <definedName name="SomaTempoSetupInd">Calculos!#REF!</definedName>
    <definedName name="t">Calculos!#REF!</definedName>
    <definedName name="tabela_mes">'Base de Dados'!$F$24:$I$35</definedName>
    <definedName name="tableCase">'Base de Dados'!$O$2:$P$21</definedName>
    <definedName name="tags">'Base de Dados'!$V$2:$V$55</definedName>
    <definedName name="TagsIndicators">Calculos!$B$17:$B$69</definedName>
    <definedName name="TempoParadaGeral">Calculos!#REF!</definedName>
    <definedName name="tempos">Calculos!$X$2:$X$21</definedName>
    <definedName name="time_WJ" localSheetId="5">'Tempo de Serviço'!#REF!</definedName>
    <definedName name="time_WJ">Indicadores!$U$5</definedName>
    <definedName name="turno" localSheetId="5">'Tempo de Serviço'!$K$3</definedName>
    <definedName name="turno">Indicadores!$O$3</definedName>
  </definedNames>
  <calcPr calcId="152511"/>
  <pivotCaches>
    <pivotCache cacheId="39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3" l="1"/>
  <c r="G283" i="2"/>
  <c r="G284" i="2"/>
  <c r="G285" i="2"/>
  <c r="G286" i="2"/>
  <c r="H283" i="2"/>
  <c r="H284" i="2"/>
  <c r="H285" i="2"/>
  <c r="H286" i="2"/>
  <c r="I283" i="2"/>
  <c r="I284" i="2"/>
  <c r="I285" i="2"/>
  <c r="I286" i="2"/>
  <c r="J283" i="2"/>
  <c r="J284" i="2"/>
  <c r="J285" i="2"/>
  <c r="J286" i="2"/>
  <c r="K283" i="2"/>
  <c r="K284" i="2"/>
  <c r="K285" i="2"/>
  <c r="K286" i="2"/>
  <c r="S283" i="2"/>
  <c r="S284" i="2"/>
  <c r="S285" i="2"/>
  <c r="S286" i="2"/>
  <c r="T283" i="2"/>
  <c r="T284" i="2"/>
  <c r="T285" i="2"/>
  <c r="T286" i="2"/>
  <c r="U283" i="2"/>
  <c r="U284" i="2"/>
  <c r="U285" i="2"/>
  <c r="U286" i="2"/>
  <c r="V283" i="2"/>
  <c r="V284" i="2"/>
  <c r="V285" i="2"/>
  <c r="V286" i="2"/>
  <c r="W283" i="2"/>
  <c r="W284" i="2"/>
  <c r="W285" i="2"/>
  <c r="W286" i="2"/>
  <c r="X283" i="2"/>
  <c r="X284" i="2"/>
  <c r="X285" i="2"/>
  <c r="X286" i="2"/>
  <c r="J25" i="1"/>
  <c r="I25" i="1" s="1"/>
  <c r="J35" i="1"/>
  <c r="I35" i="1" s="1"/>
  <c r="G282" i="2"/>
  <c r="H282" i="2"/>
  <c r="I282" i="2"/>
  <c r="J282" i="2"/>
  <c r="K282" i="2"/>
  <c r="S282" i="2"/>
  <c r="T282" i="2"/>
  <c r="U282" i="2"/>
  <c r="V282" i="2"/>
  <c r="W282" i="2"/>
  <c r="X282" i="2"/>
  <c r="G281" i="2"/>
  <c r="H281" i="2"/>
  <c r="I281" i="2"/>
  <c r="J281" i="2"/>
  <c r="K281" i="2"/>
  <c r="S281" i="2"/>
  <c r="T281" i="2"/>
  <c r="U281" i="2"/>
  <c r="V281" i="2"/>
  <c r="W281" i="2"/>
  <c r="X281" i="2"/>
  <c r="G280" i="2"/>
  <c r="H280" i="2"/>
  <c r="I280" i="2"/>
  <c r="J280" i="2"/>
  <c r="K280" i="2"/>
  <c r="S280" i="2"/>
  <c r="T280" i="2"/>
  <c r="U280" i="2"/>
  <c r="V280" i="2"/>
  <c r="W280" i="2"/>
  <c r="X280" i="2"/>
  <c r="G279" i="2"/>
  <c r="H279" i="2"/>
  <c r="I279" i="2"/>
  <c r="J279" i="2"/>
  <c r="K279" i="2"/>
  <c r="S279" i="2"/>
  <c r="T279" i="2"/>
  <c r="U279" i="2"/>
  <c r="V279" i="2"/>
  <c r="W279" i="2"/>
  <c r="X279" i="2"/>
  <c r="G278" i="2"/>
  <c r="H278" i="2"/>
  <c r="I278" i="2"/>
  <c r="J278" i="2"/>
  <c r="K278" i="2"/>
  <c r="S278" i="2"/>
  <c r="T278" i="2"/>
  <c r="U278" i="2"/>
  <c r="V278" i="2"/>
  <c r="W278" i="2"/>
  <c r="X278" i="2"/>
  <c r="G277" i="2"/>
  <c r="H277" i="2"/>
  <c r="I277" i="2"/>
  <c r="J277" i="2"/>
  <c r="K277" i="2"/>
  <c r="S277" i="2"/>
  <c r="T277" i="2"/>
  <c r="U277" i="2"/>
  <c r="V277" i="2"/>
  <c r="W277" i="2"/>
  <c r="X277" i="2"/>
  <c r="G276" i="2"/>
  <c r="H276" i="2"/>
  <c r="I276" i="2"/>
  <c r="J276" i="2"/>
  <c r="K276" i="2"/>
  <c r="S276" i="2"/>
  <c r="T276" i="2"/>
  <c r="U276" i="2"/>
  <c r="V276" i="2"/>
  <c r="W276" i="2"/>
  <c r="X276" i="2"/>
  <c r="G275" i="2"/>
  <c r="H275" i="2"/>
  <c r="I275" i="2"/>
  <c r="J275" i="2"/>
  <c r="K275" i="2"/>
  <c r="S275" i="2"/>
  <c r="T275" i="2"/>
  <c r="U275" i="2"/>
  <c r="V275" i="2"/>
  <c r="W275" i="2"/>
  <c r="X275" i="2"/>
  <c r="G274" i="2"/>
  <c r="H274" i="2"/>
  <c r="I274" i="2"/>
  <c r="J274" i="2"/>
  <c r="K274" i="2"/>
  <c r="S274" i="2"/>
  <c r="T274" i="2"/>
  <c r="U274" i="2"/>
  <c r="V274" i="2"/>
  <c r="W274" i="2"/>
  <c r="X274" i="2"/>
  <c r="G273" i="2"/>
  <c r="H273" i="2"/>
  <c r="I273" i="2"/>
  <c r="J273" i="2"/>
  <c r="K273" i="2"/>
  <c r="S273" i="2"/>
  <c r="T273" i="2"/>
  <c r="U273" i="2"/>
  <c r="V273" i="2"/>
  <c r="W273" i="2"/>
  <c r="X273" i="2"/>
  <c r="G272" i="2"/>
  <c r="H272" i="2"/>
  <c r="I272" i="2"/>
  <c r="J272" i="2"/>
  <c r="K272" i="2"/>
  <c r="S272" i="2"/>
  <c r="T272" i="2"/>
  <c r="U272" i="2"/>
  <c r="V272" i="2"/>
  <c r="W272" i="2"/>
  <c r="X272" i="2"/>
  <c r="G271" i="2"/>
  <c r="H271" i="2"/>
  <c r="I271" i="2"/>
  <c r="J271" i="2"/>
  <c r="K271" i="2"/>
  <c r="S271" i="2"/>
  <c r="T271" i="2"/>
  <c r="U271" i="2"/>
  <c r="V271" i="2"/>
  <c r="W271" i="2"/>
  <c r="X271" i="2"/>
  <c r="G270" i="2"/>
  <c r="H270" i="2"/>
  <c r="I270" i="2"/>
  <c r="J270" i="2"/>
  <c r="K270" i="2"/>
  <c r="S270" i="2"/>
  <c r="T270" i="2"/>
  <c r="U270" i="2"/>
  <c r="V270" i="2"/>
  <c r="W270" i="2"/>
  <c r="X270" i="2"/>
  <c r="G269" i="2"/>
  <c r="H269" i="2"/>
  <c r="I269" i="2"/>
  <c r="J269" i="2"/>
  <c r="K269" i="2"/>
  <c r="S269" i="2"/>
  <c r="T269" i="2"/>
  <c r="U269" i="2"/>
  <c r="V269" i="2"/>
  <c r="W269" i="2"/>
  <c r="X269" i="2"/>
  <c r="G268" i="2"/>
  <c r="H268" i="2"/>
  <c r="I268" i="2"/>
  <c r="J268" i="2"/>
  <c r="K268" i="2"/>
  <c r="S268" i="2"/>
  <c r="T268" i="2"/>
  <c r="U268" i="2"/>
  <c r="V268" i="2"/>
  <c r="W268" i="2"/>
  <c r="X268" i="2"/>
  <c r="G267" i="2"/>
  <c r="H267" i="2"/>
  <c r="I267" i="2"/>
  <c r="J267" i="2"/>
  <c r="K267" i="2"/>
  <c r="S267" i="2"/>
  <c r="T267" i="2"/>
  <c r="U267" i="2"/>
  <c r="V267" i="2"/>
  <c r="W267" i="2"/>
  <c r="X267" i="2"/>
  <c r="G266" i="2"/>
  <c r="H266" i="2"/>
  <c r="I266" i="2"/>
  <c r="J266" i="2"/>
  <c r="K266" i="2"/>
  <c r="S266" i="2"/>
  <c r="T266" i="2"/>
  <c r="U266" i="2"/>
  <c r="V266" i="2"/>
  <c r="W266" i="2"/>
  <c r="X266" i="2"/>
  <c r="G265" i="2"/>
  <c r="H265" i="2"/>
  <c r="I265" i="2"/>
  <c r="J265" i="2"/>
  <c r="K265" i="2"/>
  <c r="S265" i="2"/>
  <c r="T265" i="2"/>
  <c r="U265" i="2"/>
  <c r="V265" i="2"/>
  <c r="W265" i="2"/>
  <c r="X265" i="2"/>
  <c r="G264" i="2"/>
  <c r="H264" i="2"/>
  <c r="I264" i="2"/>
  <c r="J264" i="2"/>
  <c r="K264" i="2"/>
  <c r="S264" i="2"/>
  <c r="T264" i="2"/>
  <c r="U264" i="2"/>
  <c r="V264" i="2"/>
  <c r="W264" i="2"/>
  <c r="X264" i="2"/>
  <c r="G263" i="2"/>
  <c r="H263" i="2"/>
  <c r="I263" i="2"/>
  <c r="J263" i="2"/>
  <c r="K263" i="2"/>
  <c r="S263" i="2"/>
  <c r="T263" i="2"/>
  <c r="U263" i="2"/>
  <c r="V263" i="2"/>
  <c r="W263" i="2"/>
  <c r="X263" i="2"/>
  <c r="G262" i="2"/>
  <c r="H262" i="2"/>
  <c r="I262" i="2"/>
  <c r="J262" i="2"/>
  <c r="K262" i="2"/>
  <c r="S262" i="2"/>
  <c r="T262" i="2"/>
  <c r="U262" i="2"/>
  <c r="V262" i="2"/>
  <c r="W262" i="2"/>
  <c r="X262" i="2"/>
  <c r="G261" i="2"/>
  <c r="H261" i="2"/>
  <c r="I261" i="2"/>
  <c r="J261" i="2"/>
  <c r="K261" i="2"/>
  <c r="S261" i="2"/>
  <c r="T261" i="2"/>
  <c r="U261" i="2"/>
  <c r="V261" i="2"/>
  <c r="W261" i="2"/>
  <c r="X261" i="2"/>
  <c r="G260" i="2"/>
  <c r="H260" i="2"/>
  <c r="I260" i="2"/>
  <c r="J260" i="2"/>
  <c r="K260" i="2"/>
  <c r="S260" i="2"/>
  <c r="T260" i="2"/>
  <c r="U260" i="2"/>
  <c r="V260" i="2"/>
  <c r="W260" i="2"/>
  <c r="X260" i="2"/>
  <c r="G259" i="2"/>
  <c r="H259" i="2"/>
  <c r="I259" i="2"/>
  <c r="J259" i="2"/>
  <c r="K259" i="2"/>
  <c r="S259" i="2"/>
  <c r="T259" i="2"/>
  <c r="U259" i="2"/>
  <c r="V259" i="2"/>
  <c r="W259" i="2"/>
  <c r="X259" i="2"/>
  <c r="C4" i="4" l="1"/>
  <c r="C3" i="4"/>
  <c r="B7" i="3" s="1"/>
  <c r="C6" i="4"/>
  <c r="F112" i="4" l="1"/>
  <c r="F113" i="4"/>
  <c r="F114" i="4"/>
  <c r="F115" i="4"/>
  <c r="F116" i="4"/>
  <c r="F107" i="4"/>
  <c r="F108" i="4"/>
  <c r="F109" i="4"/>
  <c r="F110" i="4"/>
  <c r="F111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7" i="4"/>
  <c r="C10" i="4" l="1"/>
  <c r="C11" i="4"/>
  <c r="C12" i="4"/>
  <c r="C14" i="4"/>
  <c r="C13" i="4"/>
  <c r="C9" i="4"/>
  <c r="D9" i="4"/>
  <c r="D11" i="4"/>
  <c r="D13" i="4"/>
  <c r="D10" i="4"/>
  <c r="D12" i="4"/>
  <c r="D14" i="4"/>
  <c r="G258" i="2"/>
  <c r="H258" i="2"/>
  <c r="I258" i="2"/>
  <c r="J258" i="2"/>
  <c r="K258" i="2"/>
  <c r="S258" i="2"/>
  <c r="T258" i="2"/>
  <c r="U258" i="2"/>
  <c r="V258" i="2"/>
  <c r="W258" i="2"/>
  <c r="X258" i="2"/>
  <c r="F7" i="3"/>
  <c r="G257" i="2" l="1"/>
  <c r="H257" i="2"/>
  <c r="I257" i="2"/>
  <c r="J257" i="2"/>
  <c r="K257" i="2"/>
  <c r="S257" i="2"/>
  <c r="T257" i="2"/>
  <c r="U257" i="2"/>
  <c r="V257" i="2"/>
  <c r="W257" i="2"/>
  <c r="X257" i="2"/>
  <c r="G256" i="2"/>
  <c r="H256" i="2"/>
  <c r="I256" i="2"/>
  <c r="J256" i="2"/>
  <c r="K256" i="2"/>
  <c r="S256" i="2"/>
  <c r="T256" i="2"/>
  <c r="U256" i="2"/>
  <c r="V256" i="2"/>
  <c r="W256" i="2"/>
  <c r="X256" i="2"/>
  <c r="G255" i="2"/>
  <c r="H255" i="2"/>
  <c r="I255" i="2"/>
  <c r="J255" i="2"/>
  <c r="K255" i="2"/>
  <c r="S255" i="2"/>
  <c r="T255" i="2"/>
  <c r="U255" i="2"/>
  <c r="V255" i="2"/>
  <c r="W255" i="2"/>
  <c r="X255" i="2"/>
  <c r="G254" i="2"/>
  <c r="H254" i="2"/>
  <c r="I254" i="2"/>
  <c r="J254" i="2"/>
  <c r="K254" i="2"/>
  <c r="S254" i="2"/>
  <c r="T254" i="2"/>
  <c r="U254" i="2"/>
  <c r="V254" i="2"/>
  <c r="W254" i="2"/>
  <c r="X254" i="2"/>
  <c r="G253" i="2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W3" i="4"/>
  <c r="N7" i="6"/>
  <c r="W9" i="4"/>
  <c r="W21" i="4"/>
  <c r="W14" i="4"/>
  <c r="W18" i="4"/>
  <c r="W20" i="4"/>
  <c r="W11" i="4"/>
  <c r="W19" i="4"/>
  <c r="W13" i="4"/>
  <c r="W5" i="4"/>
  <c r="W10" i="4"/>
  <c r="W16" i="4"/>
  <c r="W12" i="4"/>
  <c r="N7" i="3" l="1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I24" i="1" l="1"/>
  <c r="J2" i="3" s="1"/>
  <c r="W2" i="4"/>
  <c r="W7" i="4"/>
  <c r="W17" i="4"/>
  <c r="W15" i="4"/>
  <c r="W6" i="4"/>
  <c r="W4" i="4"/>
  <c r="W8" i="4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F2" i="6" l="1"/>
</calcChain>
</file>

<file path=xl/sharedStrings.xml><?xml version="1.0" encoding="utf-8"?>
<sst xmlns="http://schemas.openxmlformats.org/spreadsheetml/2006/main" count="2299" uniqueCount="599">
  <si>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</si>
  <si>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</si>
  <si>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</si>
  <si>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</si>
  <si>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</si>
  <si>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</si>
  <si>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</si>
  <si>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</si>
  <si>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</si>
  <si>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</si>
  <si>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</si>
  <si>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</si>
  <si>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</si>
  <si>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</si>
  <si>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</si>
  <si>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</si>
  <si>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</si>
  <si>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</si>
  <si>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</si>
  <si>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</si>
  <si>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</si>
  <si>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</si>
  <si>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</si>
  <si>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</si>
  <si>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</si>
  <si>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</si>
  <si>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</si>
  <si>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</si>
  <si>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</si>
  <si>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</si>
  <si>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</si>
  <si>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</si>
  <si>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</si>
  <si>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</si>
  <si>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</si>
  <si>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</si>
  <si>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</si>
  <si>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</si>
  <si>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</si>
  <si>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</si>
  <si>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</si>
  <si>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</si>
  <si>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</si>
  <si>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</si>
  <si>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</si>
  <si>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</si>
  <si>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</si>
  <si>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</si>
  <si>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</si>
  <si>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</si>
  <si>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</si>
  <si>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</si>
  <si>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</si>
  <si>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</si>
  <si>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</si>
  <si>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</si>
  <si>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</si>
  <si>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</si>
  <si>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</si>
  <si>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</si>
  <si>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</si>
  <si>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</si>
  <si>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</si>
  <si>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</si>
  <si>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</si>
  <si>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</si>
  <si>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</si>
  <si>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</si>
  <si>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</si>
  <si>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</si>
  <si>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</si>
  <si>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</si>
  <si>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</si>
  <si>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</si>
  <si>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</si>
  <si>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</si>
  <si>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</si>
  <si>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</si>
  <si>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</si>
  <si>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</si>
  <si>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</si>
  <si>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</si>
  <si>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</si>
  <si>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</si>
  <si>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</si>
  <si>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</si>
  <si>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</si>
  <si>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</si>
  <si>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</si>
  <si>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</si>
  <si>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</si>
  <si>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</si>
  <si>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</si>
  <si>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</si>
  <si>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</si>
  <si>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</si>
  <si>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</si>
  <si>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</si>
  <si>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</si>
  <si>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</si>
  <si>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</si>
  <si>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</si>
  <si>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</si>
  <si>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</si>
  <si>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</si>
  <si>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</si>
  <si>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</si>
  <si>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</si>
  <si>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</si>
  <si>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</si>
  <si>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</si>
  <si>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</si>
  <si>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</si>
  <si>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</si>
  <si>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</si>
  <si>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</si>
  <si>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</si>
  <si>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</si>
  <si>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</si>
  <si>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</si>
  <si>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</si>
  <si>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</si>
  <si>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</si>
  <si>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</si>
  <si>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</si>
  <si>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</si>
  <si>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</si>
  <si>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</si>
  <si>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</si>
  <si>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</si>
  <si>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</si>
  <si>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</si>
  <si>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</si>
  <si>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</si>
  <si>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</si>
  <si>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</si>
  <si>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</si>
  <si>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</si>
  <si>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</si>
  <si>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</si>
  <si>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</si>
  <si>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</si>
  <si>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</si>
  <si>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</si>
  <si>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</si>
  <si>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</si>
  <si>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</si>
  <si>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</si>
  <si>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</si>
  <si>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</si>
  <si>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</si>
  <si>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</si>
  <si>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</si>
  <si>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</si>
  <si>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</si>
  <si>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</si>
  <si>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</si>
  <si>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</si>
  <si>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</si>
  <si>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</si>
  <si>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</si>
  <si>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</si>
  <si>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</si>
  <si>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</si>
  <si>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</si>
  <si>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</si>
  <si>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</si>
  <si>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</si>
  <si>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</si>
  <si>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</si>
  <si>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</si>
  <si>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</si>
  <si>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</si>
  <si>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</si>
  <si>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</si>
  <si>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</si>
  <si>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</si>
  <si>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</si>
  <si>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</si>
  <si>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</si>
  <si>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</si>
  <si>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</si>
  <si>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</si>
  <si>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</si>
  <si>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</si>
  <si>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</si>
  <si>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</si>
  <si>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</si>
  <si>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</si>
  <si>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</si>
  <si>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</si>
  <si>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</si>
  <si>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</si>
  <si>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</si>
  <si>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</si>
  <si>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</si>
  <si>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</si>
  <si>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</si>
  <si>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</si>
  <si>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</si>
  <si>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</si>
  <si>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</si>
  <si>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</si>
  <si>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</si>
  <si>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</si>
  <si>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</si>
  <si>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</si>
  <si>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</si>
  <si>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</si>
  <si>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</si>
  <si>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</si>
  <si>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</si>
  <si>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</si>
  <si>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</si>
  <si>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</si>
  <si>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</si>
  <si>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</si>
  <si>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</si>
  <si>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</si>
  <si>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</si>
  <si>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</si>
  <si>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</si>
  <si>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</si>
  <si>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</si>
  <si>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</si>
  <si>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</si>
  <si>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</si>
  <si>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</si>
  <si>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</si>
  <si>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</si>
  <si>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</si>
  <si>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</si>
  <si>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</si>
  <si>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</si>
  <si>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</si>
  <si>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</si>
  <si>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</si>
  <si>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</si>
  <si>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</si>
  <si>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</si>
  <si>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</si>
  <si>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</si>
  <si>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</si>
  <si>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</si>
  <si>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</si>
  <si>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</si>
  <si>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</si>
  <si>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</si>
  <si>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</si>
  <si>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</si>
  <si>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</si>
  <si>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</si>
  <si>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</si>
  <si>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</si>
  <si>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</si>
  <si>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</si>
  <si>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</si>
  <si>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</si>
  <si>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</si>
  <si>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</si>
  <si>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</si>
  <si>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</si>
  <si>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</si>
  <si>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</si>
  <si>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</si>
  <si>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</si>
  <si>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</si>
  <si>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</si>
  <si>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</si>
  <si>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</si>
  <si>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</si>
  <si>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Disponibilidade</t>
  </si>
  <si>
    <t>min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</si>
  <si>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</si>
  <si>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</si>
  <si>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</si>
  <si>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</si>
  <si>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</si>
  <si>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</si>
  <si>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</si>
  <si>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</si>
  <si>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</si>
  <si>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</si>
  <si>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</si>
  <si>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</si>
  <si>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</si>
  <si>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</si>
  <si>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</si>
  <si>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</si>
  <si>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</si>
  <si>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</si>
  <si>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</si>
  <si>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</si>
  <si>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</si>
  <si>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</si>
  <si>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</si>
  <si>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</si>
  <si>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</si>
  <si>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</si>
  <si>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</si>
  <si>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</si>
  <si>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</si>
  <si>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</si>
  <si>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</si>
  <si>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</si>
  <si>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</si>
  <si>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</si>
  <si>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</si>
  <si>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</si>
  <si>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</si>
  <si>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</si>
  <si>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</si>
  <si>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</si>
  <si>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</si>
  <si>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</si>
  <si>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</si>
  <si>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</si>
  <si>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</si>
  <si>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</si>
  <si>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</si>
  <si>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</si>
  <si>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</si>
  <si>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</si>
  <si>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</si>
  <si>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</si>
  <si>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</si>
  <si>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</si>
  <si>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</si>
  <si>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</si>
  <si>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</si>
  <si>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</si>
  <si>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</si>
  <si>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</si>
  <si>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</si>
  <si>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</si>
  <si>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</si>
  <si>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</si>
  <si>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</si>
  <si>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</si>
  <si>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</si>
  <si>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</si>
  <si>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</si>
  <si>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</si>
  <si>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</si>
  <si>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</si>
  <si>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</si>
  <si>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</si>
  <si>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</si>
  <si>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</si>
  <si>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</si>
  <si>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</si>
  <si>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</si>
  <si>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</si>
  <si>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</si>
  <si>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</si>
  <si>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</si>
  <si>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</si>
  <si>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</si>
  <si>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</si>
  <si>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</si>
  <si>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</si>
  <si>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</si>
  <si>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</si>
  <si>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</si>
  <si>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</si>
  <si>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</si>
  <si>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</si>
  <si>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</si>
  <si>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</si>
  <si>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</si>
  <si>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</si>
  <si>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</si>
  <si>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</si>
  <si>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</si>
  <si>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</si>
  <si>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</si>
  <si>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</si>
  <si>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</si>
  <si>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</si>
  <si>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</si>
  <si>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</si>
  <si>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</si>
  <si>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</si>
  <si>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</si>
  <si>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</si>
  <si>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</si>
  <si>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</si>
  <si>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</si>
  <si>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</si>
  <si>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</si>
  <si>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</si>
  <si>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</si>
  <si>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</si>
  <si>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</si>
  <si>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</si>
  <si>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</si>
  <si>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</si>
  <si>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</si>
  <si>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</si>
  <si>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</si>
  <si>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</si>
  <si>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</si>
  <si>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</si>
  <si>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</si>
  <si>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</si>
  <si>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</si>
  <si>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</si>
  <si>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</si>
  <si>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</si>
  <si>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</si>
  <si>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</si>
  <si>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</si>
  <si>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</si>
  <si>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</si>
  <si>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</si>
  <si>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</si>
  <si>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</si>
  <si>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</si>
  <si>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</si>
  <si>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</si>
  <si>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</si>
  <si>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</si>
  <si>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</si>
  <si>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</si>
  <si>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</si>
  <si>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</si>
  <si>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</si>
  <si>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</si>
  <si>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</si>
  <si>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</si>
  <si>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</si>
  <si>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</si>
  <si>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</si>
  <si>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</si>
  <si>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</si>
  <si>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</si>
  <si>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</si>
  <si>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</si>
  <si>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</si>
  <si>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</si>
  <si>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</si>
  <si>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</si>
  <si>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</si>
  <si>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</si>
  <si>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</si>
  <si>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</si>
  <si>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</si>
  <si>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</si>
  <si>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</si>
  <si>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</si>
  <si>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</si>
  <si>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</si>
  <si>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</si>
  <si>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</si>
  <si>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</si>
  <si>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</si>
  <si>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</si>
  <si>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</si>
  <si>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</si>
  <si>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</si>
  <si>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</si>
  <si>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</si>
  <si>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</si>
  <si>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</si>
  <si>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</si>
  <si>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</si>
  <si>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</si>
  <si>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</si>
  <si>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</si>
  <si>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</si>
  <si>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</si>
  <si>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</si>
  <si>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</si>
  <si>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</si>
  <si>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</si>
  <si>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</si>
  <si>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</si>
  <si>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</si>
  <si>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</si>
  <si>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</si>
  <si>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</si>
  <si>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</si>
  <si>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</si>
  <si>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</si>
  <si>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</si>
  <si>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</si>
  <si>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</si>
  <si>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</si>
  <si>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</si>
  <si>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</si>
  <si>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</si>
  <si>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</si>
  <si>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</si>
  <si>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</si>
  <si>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</si>
  <si>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</si>
  <si>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</si>
  <si>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</si>
  <si>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</si>
  <si>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</si>
  <si>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</si>
  <si>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</si>
  <si>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</si>
  <si>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</si>
  <si>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</si>
  <si>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</si>
  <si>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</si>
  <si>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</si>
  <si>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</si>
  <si>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</si>
  <si>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</si>
  <si>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</si>
  <si>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</si>
  <si>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</si>
  <si>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</si>
  <si>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</si>
  <si>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</si>
  <si>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</si>
  <si>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</si>
  <si>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</si>
  <si>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</si>
  <si>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</si>
  <si>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</si>
  <si>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</si>
  <si>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</si>
  <si>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</si>
  <si>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</si>
  <si>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</si>
  <si>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</si>
  <si>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</si>
  <si>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Dia</t>
  </si>
  <si>
    <t>Mês</t>
  </si>
  <si>
    <t>Ano</t>
  </si>
  <si>
    <t>(Tudo)</t>
  </si>
  <si>
    <t>Todos</t>
  </si>
  <si>
    <t>Tempo de Produção</t>
  </si>
  <si>
    <t>Hot Pressing</t>
  </si>
  <si>
    <t>Carpet Molding</t>
  </si>
  <si>
    <t>LWF Block Foaming</t>
  </si>
  <si>
    <t>PUR Foaming Molding</t>
  </si>
  <si>
    <t>Geral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</si>
  <si>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</si>
  <si>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</si>
  <si>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</si>
  <si>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</si>
  <si>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</si>
  <si>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</si>
  <si>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</si>
  <si>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</si>
  <si>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</si>
  <si>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</si>
  <si>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</si>
  <si>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Tipo</t>
  </si>
  <si>
    <t>CORRETIVA</t>
  </si>
  <si>
    <t>Setup Number</t>
  </si>
  <si>
    <t>S1007</t>
  </si>
  <si>
    <t>TSETSETSET</t>
  </si>
  <si>
    <t>S1008</t>
  </si>
  <si>
    <t>TESTETEVUYE</t>
  </si>
  <si>
    <t>S1009</t>
  </si>
  <si>
    <t>S1010</t>
  </si>
  <si>
    <t>Outros</t>
  </si>
  <si>
    <t>Máquinas</t>
  </si>
  <si>
    <t>AVA</t>
  </si>
  <si>
    <t>Tec</t>
  </si>
  <si>
    <t>SomaTempoParadaInd</t>
  </si>
  <si>
    <t>ContagemTempoParadasInd</t>
  </si>
  <si>
    <t>tempo de parada</t>
  </si>
  <si>
    <t>hrs</t>
  </si>
  <si>
    <t>Contagem de Tempo Parada2</t>
  </si>
  <si>
    <t>Quimico</t>
  </si>
  <si>
    <t>TROCA DO RETENTOR</t>
  </si>
  <si>
    <t>S1637</t>
  </si>
  <si>
    <t>Virola</t>
  </si>
  <si>
    <t>REPOSICIONAMENTO DA BORRACHA</t>
  </si>
  <si>
    <t>REPARO NA PISTOLA</t>
  </si>
  <si>
    <t>S1638</t>
  </si>
  <si>
    <t>S1639</t>
  </si>
  <si>
    <t>REPARO NO IHM</t>
  </si>
  <si>
    <t>REALIZADO TROCA DA MANGUEIRA</t>
  </si>
  <si>
    <t>AJUSTE NA POSIÇÃO DA MESA</t>
  </si>
  <si>
    <t>AJUSTE NO REGULADOR DE PRESSÃO DA BOMBA</t>
  </si>
  <si>
    <t>AJUSTE DE FRQUENCIA NO INVERSOR DO POLIOL</t>
  </si>
  <si>
    <t>AJUSTE NA POSIÇÃO DO SERVO MOTOR</t>
  </si>
  <si>
    <t>FEITO AJUSTE NO CORTE DO CARPET FRONTAL</t>
  </si>
  <si>
    <t>TROCA DA AGULHA</t>
  </si>
  <si>
    <t>COLOCADO EM AUTOMÁTICO</t>
  </si>
  <si>
    <t>BOMBA ESTAVA SEM COLA</t>
  </si>
  <si>
    <t>DESTRAVAMENTO DA ESTEIRA</t>
  </si>
  <si>
    <t>TROCA DO BICO INTERNO E TROCA DA CAPA INTERNA DE VEDAÇÃO DA AGULHA</t>
  </si>
  <si>
    <t>S1640</t>
  </si>
  <si>
    <t>S1641</t>
  </si>
  <si>
    <t>AJUSTE EM CILCINDRO HIDRÁULICO ESQUERDO DE AVANÇO</t>
  </si>
  <si>
    <t>FEITO LIMPEZA NOS TRILHOS</t>
  </si>
  <si>
    <t>RELIGADA A CHAVE GERAL E FEITO ALINHAMENTO DA BARREIRA DE LUZ</t>
  </si>
  <si>
    <t>REALIZADO TESTES E REALIZADO LIMPEZA NO ESPIGÃO E NA ENTRADA DA ÁGUA GELADA NO INTENSIFICADOR</t>
  </si>
  <si>
    <t>Soma de BREAKDOWN</t>
  </si>
  <si>
    <t>Soma de Breakdown</t>
  </si>
  <si>
    <t>1:10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</si>
</sst>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sz val="11"/>
      <color rgb="FFFF0000"/>
      <name val="Calibri"/>
      <scheme val="minor"/>
    </font>
    <font>
      <b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theme="1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122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3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35" xfId="0" applyBorder="1"/>
    <xf numFmtId="0" fontId="0" fillId="0" borderId="37" xfId="0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7" fillId="0" borderId="1" xfId="3" applyFont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1" fontId="10" fillId="0" borderId="0" xfId="3" applyNumberForma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0" borderId="0" xfId="0" applyNumberFormat="1"/>
    <xf numFmtId="2" fontId="0" fillId="0" borderId="1" xfId="0" applyNumberFormat="1" applyFont="1" applyBorder="1" applyAlignment="1">
      <alignment horizontal="left" vertical="center" wrapText="1"/>
    </xf>
    <xf numFmtId="9" fontId="0" fillId="0" borderId="1" xfId="2" applyFont="1" applyBorder="1" applyAlignment="1">
      <alignment horizontal="left" vertical="center" wrapText="1"/>
    </xf>
    <xf numFmtId="2" fontId="0" fillId="0" borderId="1" xfId="3" applyNumberFormat="1" applyFont="1" applyBorder="1" applyAlignment="1">
      <alignment horizontal="left" vertical="center"/>
    </xf>
    <xf numFmtId="0" fontId="30" fillId="8" borderId="44" xfId="3" applyNumberFormat="1" applyFont="1" applyFill="1" applyBorder="1" applyAlignment="1">
      <alignment horizontal="center" vertical="center"/>
    </xf>
    <xf numFmtId="0" fontId="30" fillId="8" borderId="43" xfId="3" applyNumberFormat="1" applyFont="1" applyFill="1" applyBorder="1" applyAlignment="1">
      <alignment horizontal="center" vertical="center"/>
    </xf>
    <xf numFmtId="0" fontId="10" fillId="0" borderId="44" xfId="3" applyNumberFormat="1" applyFont="1" applyBorder="1" applyAlignment="1">
      <alignment horizontal="center" vertical="center"/>
    </xf>
    <xf numFmtId="2" fontId="10" fillId="0" borderId="44" xfId="3" applyNumberFormat="1" applyFont="1" applyBorder="1" applyAlignment="1">
      <alignment horizontal="center" vertical="center"/>
    </xf>
    <xf numFmtId="1" fontId="10" fillId="0" borderId="44" xfId="3" applyNumberFormat="1" applyFont="1" applyBorder="1" applyAlignment="1">
      <alignment horizontal="center" vertical="center"/>
    </xf>
    <xf numFmtId="1" fontId="10" fillId="0" borderId="43" xfId="3" applyNumberFormat="1" applyFont="1" applyBorder="1" applyAlignment="1">
      <alignment horizontal="center" vertical="center"/>
    </xf>
    <xf numFmtId="0" fontId="10" fillId="0" borderId="42" xfId="3" applyNumberFormat="1" applyFont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15" fillId="7" borderId="3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20" fillId="0" borderId="29" xfId="2" applyFont="1" applyBorder="1" applyAlignment="1">
      <alignment horizontal="center" vertical="center"/>
    </xf>
    <xf numFmtId="9" fontId="20" fillId="0" borderId="0" xfId="2" applyFont="1" applyBorder="1" applyAlignment="1">
      <alignment horizontal="center" vertical="center"/>
    </xf>
    <xf numFmtId="9" fontId="20" fillId="0" borderId="30" xfId="2" applyFont="1" applyBorder="1" applyAlignment="1">
      <alignment horizontal="center" vertical="center"/>
    </xf>
    <xf numFmtId="9" fontId="20" fillId="0" borderId="31" xfId="2" applyFont="1" applyBorder="1" applyAlignment="1">
      <alignment horizontal="center" vertical="center"/>
    </xf>
    <xf numFmtId="9" fontId="20" fillId="0" borderId="32" xfId="2" applyFont="1" applyBorder="1" applyAlignment="1">
      <alignment horizontal="center" vertical="center"/>
    </xf>
    <xf numFmtId="9" fontId="20" fillId="0" borderId="33" xfId="2" applyFont="1" applyBorder="1" applyAlignment="1">
      <alignment horizontal="center" vertical="center"/>
    </xf>
    <xf numFmtId="0" fontId="19" fillId="0" borderId="36" xfId="0" applyFont="1" applyBorder="1" applyAlignment="1">
      <alignment horizontal="right" vertic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20" fontId="23" fillId="0" borderId="15" xfId="0" applyNumberFormat="1" applyFont="1" applyBorder="1" applyAlignment="1">
      <alignment horizontal="center" vertical="center"/>
    </xf>
    <xf numFmtId="20" fontId="23" fillId="0" borderId="16" xfId="0" applyNumberFormat="1" applyFont="1" applyBorder="1" applyAlignment="1">
      <alignment horizontal="center" vertical="center"/>
    </xf>
    <xf numFmtId="20" fontId="23" fillId="0" borderId="17" xfId="0" applyNumberFormat="1" applyFont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</cellXfs>
  <cellStyles count="4">
    <cellStyle name="Normal" xfId="0" builtinId="0"/>
    <cellStyle name="Normal 2" xfId="3"/>
    <cellStyle name="Porcentagem" xfId="2" builtinId="5"/>
    <cellStyle name="Vírgula" xfId="1" builtinId="3"/>
  </cellStyles>
  <dxfs count="26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MTBF </a:t>
            </a:r>
            <a:r>
              <a:rPr lang="en-US" sz="1400" b="0" i="0" u="none" strike="noStrike" baseline="0">
                <a:effectLst/>
              </a:rPr>
              <a:t>/ Tecnologia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3279260410281695"/>
          <c:y val="0.15239853723701116"/>
          <c:w val="0.5289069986436532"/>
          <c:h val="0.802403729961502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Calculos!$C$9:$C$14</c:f>
              <c:numCache>
                <c:formatCode>0.00</c:formatCode>
                <c:ptCount val="6"/>
                <c:pt idx="0">
                  <c:v>215.82005787037036</c:v>
                </c:pt>
                <c:pt idx="1">
                  <c:v>298.81388888888887</c:v>
                </c:pt>
                <c:pt idx="2">
                  <c:v>149.02569444444444</c:v>
                </c:pt>
                <c:pt idx="3">
                  <c:v>345.21673250360749</c:v>
                </c:pt>
                <c:pt idx="4">
                  <c:v>51.267648709315381</c:v>
                </c:pt>
                <c:pt idx="5">
                  <c:v>429.86386967418548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B5-4827-A96E-D8CDAB6F8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1541232"/>
        <c:axId val="258607304"/>
      </c:barChart>
      <c:catAx>
        <c:axId val="211541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607304"/>
        <c:crosses val="autoZero"/>
        <c:auto val="1"/>
        <c:lblAlgn val="ctr"/>
        <c:lblOffset val="100"/>
        <c:noMultiLvlLbl val="0"/>
      </c:catAx>
      <c:valAx>
        <c:axId val="25860730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1154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MTTR / </a:t>
            </a:r>
            <a:r>
              <a:rPr lang="en-US" sz="1400" b="0" i="0" u="none" strike="noStrike" baseline="0">
                <a:effectLst/>
              </a:rPr>
              <a:t>Tecnologia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.00_ ;\-0.0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Calculos!$B$9:$B$14</c:f>
              <c:strCache>
                <c:ptCount val="6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  <c:pt idx="5">
                  <c:v>Outros</c:v>
                </c:pt>
              </c:strCache>
            </c:strRef>
          </c:cat>
          <c:val>
            <c:numRef>
              <c:f>Calculos!$D$9:$D$14</c:f>
              <c:numCache>
                <c:formatCode>0.00</c:formatCode>
                <c:ptCount val="6"/>
                <c:pt idx="0">
                  <c:v>0.67994212962962963</c:v>
                </c:pt>
                <c:pt idx="1">
                  <c:v>1.1861111111111111</c:v>
                </c:pt>
                <c:pt idx="2">
                  <c:v>0.97430555555555554</c:v>
                </c:pt>
                <c:pt idx="3">
                  <c:v>0.60144931457431461</c:v>
                </c:pt>
                <c:pt idx="4">
                  <c:v>0.4257559252657292</c:v>
                </c:pt>
                <c:pt idx="5">
                  <c:v>0.56620551378446116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D3-4FDD-BCDE-65C56F3C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8607696"/>
        <c:axId val="258604952"/>
      </c:barChart>
      <c:catAx>
        <c:axId val="258607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604952"/>
        <c:crosses val="autoZero"/>
        <c:auto val="1"/>
        <c:lblAlgn val="ctr"/>
        <c:lblOffset val="100"/>
        <c:noMultiLvlLbl val="0"/>
      </c:catAx>
      <c:valAx>
        <c:axId val="258604952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5860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[Estratificação 2.0.xlsm]Calculos!Top 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10 - Máquina</a:t>
            </a:r>
            <a:r>
              <a:rPr lang="en-US" baseline="0"/>
              <a:t> Parada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Calculos!$I$6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Calculos!$H$7:$H$17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M15</c:v>
                </c:pt>
              </c:strCache>
            </c:strRef>
          </c:cat>
          <c:val>
            <c:numRef>
              <c:f>Calculos!$I$7:$I$17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445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12-4229-B4AD-E53F8123C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609264"/>
        <c:axId val="258608088"/>
      </c:barChart>
      <c:catAx>
        <c:axId val="25860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608088"/>
        <c:crosses val="autoZero"/>
        <c:auto val="1"/>
        <c:lblAlgn val="ctr"/>
        <c:lblOffset val="100"/>
        <c:noMultiLvlLbl val="0"/>
      </c:catAx>
      <c:valAx>
        <c:axId val="258608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860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Calculos!$X$1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Calculos!$W$2:$W$21</c:f>
              <c:strCache>
                <c:ptCount val="20"/>
                <c:pt idx="0">
                  <c:v>GENILSON</c:v>
                </c:pt>
                <c:pt idx="1">
                  <c:v>VALDEMAR</c:v>
                </c:pt>
                <c:pt idx="2">
                  <c:v>DANILLO</c:v>
                </c:pt>
                <c:pt idx="3">
                  <c:v>ROBERT</c:v>
                </c:pt>
                <c:pt idx="4">
                  <c:v>JOSÉ</c:v>
                </c:pt>
                <c:pt idx="5">
                  <c:v>ANDERSON</c:v>
                </c:pt>
                <c:pt idx="6">
                  <c:v>RONALDO</c:v>
                </c:pt>
                <c:pt idx="7">
                  <c:v>A. FERNANDO</c:v>
                </c:pt>
                <c:pt idx="8">
                  <c:v>RUIGUENS</c:v>
                </c:pt>
                <c:pt idx="9">
                  <c:v>JOSINALDO</c:v>
                </c:pt>
                <c:pt idx="10">
                  <c:v>ALBERTO</c:v>
                </c:pt>
                <c:pt idx="11">
                  <c:v>RAFAEL</c:v>
                </c:pt>
                <c:pt idx="12">
                  <c:v>EDUARDO</c:v>
                </c:pt>
                <c:pt idx="13">
                  <c:v>CRISTIANO</c:v>
                </c:pt>
                <c:pt idx="14">
                  <c:v>SILVIO</c:v>
                </c:pt>
                <c:pt idx="15">
                  <c:v>ELIAS</c:v>
                </c:pt>
                <c:pt idx="16">
                  <c:v>FELIPE</c:v>
                </c:pt>
                <c:pt idx="17">
                  <c:v>PERCIVAL</c:v>
                </c:pt>
                <c:pt idx="18">
                  <c:v>JEAZI</c:v>
                </c:pt>
                <c:pt idx="19">
                  <c:v>DAVID</c:v>
                </c:pt>
              </c:strCache>
            </c:strRef>
          </c:cat>
          <c:val>
            <c:numRef>
              <c:f>Calculos!$X$2:$X$21</c:f>
              <c:numCache>
                <c:formatCode>General</c:formatCode>
                <c:ptCount val="20"/>
                <c:pt idx="0">
                  <c:v>141</c:v>
                </c:pt>
                <c:pt idx="1">
                  <c:v>112</c:v>
                </c:pt>
                <c:pt idx="2">
                  <c:v>95</c:v>
                </c:pt>
                <c:pt idx="3">
                  <c:v>70</c:v>
                </c:pt>
                <c:pt idx="4">
                  <c:v>67</c:v>
                </c:pt>
                <c:pt idx="5">
                  <c:v>65</c:v>
                </c:pt>
                <c:pt idx="6">
                  <c:v>60</c:v>
                </c:pt>
                <c:pt idx="7">
                  <c:v>60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608480"/>
        <c:axId val="258606912"/>
      </c:barChart>
      <c:catAx>
        <c:axId val="25860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8606912"/>
        <c:crosses val="autoZero"/>
        <c:auto val="1"/>
        <c:lblAlgn val="ctr"/>
        <c:lblOffset val="100"/>
        <c:noMultiLvlLbl val="0"/>
      </c:catAx>
      <c:valAx>
        <c:axId val="2586069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860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190500</xdr:colOff>
      <xdr:row>1</xdr:row>
      <xdr:rowOff>95250</xdr:rowOff>
    </xdr:from>
    <xdr:to>
      <xdr:col>17</xdr:col>
      <xdr:colOff>419100</xdr:colOff>
      <xdr:row>3</xdr:row>
      <xdr:rowOff>0</xdr:rowOff>
    </xdr:to>
    <xdr:sp macro="[0]!Calculate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8943975" y="571500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>
    <xdr:from>
      <xdr:col>1</xdr:col>
      <xdr:colOff>171450</xdr:colOff>
      <xdr:row>2</xdr:row>
      <xdr:rowOff>0</xdr:rowOff>
    </xdr:from>
    <xdr:to>
      <xdr:col>3</xdr:col>
      <xdr:colOff>133350</xdr:colOff>
      <xdr:row>3</xdr:row>
      <xdr:rowOff>47625</xdr:rowOff>
    </xdr:to>
    <xdr:sp macro="[0]!openOsForm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  <xdr:twoCellAnchor>
    <xdr:from>
      <xdr:col>5</xdr:col>
      <xdr:colOff>333374</xdr:colOff>
      <xdr:row>9</xdr:row>
      <xdr:rowOff>133350</xdr:rowOff>
    </xdr:from>
    <xdr:to>
      <xdr:col>10</xdr:col>
      <xdr:colOff>238124</xdr:colOff>
      <xdr:row>26</xdr:row>
      <xdr:rowOff>14288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123823</xdr:colOff>
      <xdr:row>9</xdr:row>
      <xdr:rowOff>132469</xdr:rowOff>
    </xdr:from>
    <xdr:to>
      <xdr:col>5</xdr:col>
      <xdr:colOff>323849</xdr:colOff>
      <xdr:row>26</xdr:row>
      <xdr:rowOff>15169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</xdr:row>
      <xdr:rowOff>97632</xdr:rowOff>
    </xdr:from>
    <xdr:to>
      <xdr:col>21</xdr:col>
      <xdr:colOff>400049</xdr:colOff>
      <xdr:row>25</xdr:row>
      <xdr:rowOff>50007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8024E39B-50E2-4A4F-8353-0B07A188F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nutenção Pernambuco" refreshedDate="44944.41999652778" createdVersion="5" refreshedVersion="5" minRefreshableVersion="3" recordCount="285">
  <cacheSource type="worksheet">
    <worksheetSource name="Tabela1"/>
  </cacheSource>
  <cacheFields count="24">
    <cacheField name="N° Os" numFmtId="0">
      <sharedItems containsMixedTypes="1" containsNumber="1" containsInteger="1" minValue="1245" maxValue="45898"/>
    </cacheField>
    <cacheField name="Data" numFmtId="166">
      <sharedItems containsSemiMixedTypes="0" containsNonDate="0" containsDate="1" containsString="0" minDate="2022-02-21T00:00:00" maxDate="2023-02-22T00:00:00"/>
    </cacheField>
    <cacheField name="Mat. 1" numFmtId="167">
      <sharedItems containsSemiMixedTypes="0" containsString="0" containsNumber="1" containsInteger="1" minValue="15" maxValue="877" count="17">
        <n v="877"/>
        <n v="739"/>
        <n v="185"/>
        <n v="677"/>
        <n v="631"/>
        <n v="540"/>
        <n v="493"/>
        <n v="267"/>
        <n v="592"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8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  <n v="282"/>
      </sharedItems>
    </cacheField>
    <cacheField name="Mat. 3" numFmtId="167">
      <sharedItems containsString="0" containsBlank="1" containsNumber="1" containsInteger="1" minValue="15" maxValue="877" count="11">
        <m/>
        <n v="540"/>
        <n v="267"/>
        <n v="877"/>
        <n v="677"/>
        <n v="782"/>
        <n v="721"/>
        <n v="248"/>
        <n v="15"/>
        <n v="493"/>
        <n v="444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 u="1"/>
      </sharedItems>
    </cacheField>
    <cacheField name="Tag" numFmtId="0">
      <sharedItems count="59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  <s v="Quimico"/>
        <s v="Virola"/>
        <s v="M32"/>
        <s v="M29"/>
        <s v="Coleiro551" u="1"/>
      </sharedItems>
    </cacheField>
    <cacheField name="Natureza" numFmtId="0">
      <sharedItems/>
    </cacheField>
    <cacheField name="Tipo" numFmtId="0">
      <sharedItems count="3">
        <s v="CORRETIVA"/>
        <s v="SETUP"/>
        <s v="PROGRAMADA"/>
      </sharedItems>
    </cacheField>
    <cacheField name="Tempo Parada" numFmtId="0">
      <sharedItems containsSemiMixedTypes="0" containsString="0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Falha" numFmtId="0">
      <sharedItems containsBlank="1"/>
    </cacheField>
    <cacheField name="Cód. Caus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6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  <n v="16"/>
        <n v="13"/>
        <n v="17"/>
        <n v="18"/>
      </sharedItems>
    </cacheField>
    <cacheField name="Mês" numFmtId="0">
      <sharedItems containsSemiMixedTypes="0" containsString="0" containsNumber="1" containsInteger="1" minValue="1" maxValue="11" count="3">
        <n v="11"/>
        <n v="1"/>
        <n v="2"/>
      </sharedItems>
    </cacheField>
    <cacheField name="Ano" numFmtId="0">
      <sharedItems containsSemiMixedTypes="0" containsString="0" containsNumber="1" containsInteger="1" minValue="2022" maxValue="2023" count="2">
        <n v="2022"/>
        <n v="2023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">
  <r>
    <n v="12140"/>
    <d v="2022-11-01T00:00:00"/>
    <x v="0"/>
    <x v="0"/>
    <x v="0"/>
    <x v="0"/>
    <s v="RONALDO"/>
    <s v=""/>
    <s v=""/>
    <s v=""/>
    <x v="0"/>
    <x v="0"/>
    <s v="ELÉTRICO"/>
    <x v="0"/>
    <n v="46"/>
    <n v="0"/>
    <s v="AJUSTE DOS SENSORES"/>
    <s v="C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s v="ELÉTRICO"/>
    <x v="0"/>
    <n v="35"/>
    <n v="0"/>
    <s v="AJUSTE NO ATUADOR E IMÂ MESA 1"/>
    <s v="C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0"/>
    <m/>
    <s v="PREVENTIVA DO MOTOR"/>
    <s v="P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s v="MECÂNICO"/>
    <x v="0"/>
    <n v="240"/>
    <n v="0"/>
    <s v="FEITO PREVENTIVA DO MOTOR"/>
    <s v="P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s v="MECÂNICO"/>
    <x v="0"/>
    <n v="21"/>
    <n v="0"/>
    <s v="LIMPEZA DO BLOCO"/>
    <s v="P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s v="MECÂNICO"/>
    <x v="0"/>
    <n v="13"/>
    <n v="0"/>
    <s v="FEITO REPOSIÇÃO DOS RELÉS"/>
    <s v="P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s v="ELÉTRICO"/>
    <x v="0"/>
    <n v="10"/>
    <n v="0"/>
    <s v="RESET DO EQUIPAMENTO"/>
    <s v="C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s v="MECÂNICO"/>
    <x v="0"/>
    <n v="40"/>
    <n v="0"/>
    <s v="REABASTECIMENTO DE ÓLEO"/>
    <s v="P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s v="MECÂNICO"/>
    <x v="0"/>
    <n v="25"/>
    <n v="0"/>
    <s v="TROCA DA MANGUEIRA"/>
    <s v="P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s v="ELÉTRICO"/>
    <x v="0"/>
    <n v="15"/>
    <n v="0"/>
    <s v="TROCA DO SENSOR DA GARRA 3"/>
    <s v="C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s v="MECÂNICO"/>
    <x v="0"/>
    <n v="25"/>
    <n v="0"/>
    <s v="AJUSTE DO PROGRAMA 598"/>
    <s v="P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s v="MECÂNICO"/>
    <x v="0"/>
    <n v="10"/>
    <n v="0"/>
    <s v="REAPERTO DO BLOCO DA SERPENTINA"/>
    <s v="P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s v="MECÂNICO"/>
    <x v="0"/>
    <n v="43"/>
    <n v="0"/>
    <s v="AJUSTE DA PISTOLA"/>
    <s v="P"/>
    <s v="EQUIPAMENTO TRABALHANDO COM CARGA EXCESSIVA "/>
    <s v=""/>
    <s v="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0"/>
    <n v="6"/>
    <s v="TROCA DA SAFIRA"/>
    <s v="P"/>
    <s v="EQUIPAMENTO TRABALHANDO COM CARGA EXCESSIVA "/>
    <s v="CORTE DO TETO  - WATER JET 2"/>
    <s v="UTE-03"/>
    <x v="0"/>
    <x v="0"/>
    <x v="0"/>
  </r>
  <r>
    <n v="12912"/>
    <d v="2022-11-01T00:00:00"/>
    <x v="9"/>
    <x v="0"/>
    <x v="0"/>
    <x v="0"/>
    <s v="ROBERT"/>
    <s v=""/>
    <s v=""/>
    <s v=""/>
    <x v="1"/>
    <x v="8"/>
    <s v="MECÂNICO"/>
    <x v="0"/>
    <n v="6"/>
    <n v="0"/>
    <s v="TROCA DA SAFIRA"/>
    <s v="P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s v="MECÂNICO"/>
    <x v="0"/>
    <n v="22"/>
    <n v="0"/>
    <s v="TROCA DE CONEXÃO"/>
    <s v="P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s v="MECÂNICO"/>
    <x v="0"/>
    <n v="38"/>
    <n v="0"/>
    <s v="DESTRAVAMENTO DO FENDER"/>
    <s v="P"/>
    <s v="EQUIPAMENTO TRABALHANDO COM CARGA EXCESSIVA "/>
    <s v="INJETORA"/>
    <s v=""/>
    <x v="1"/>
    <x v="0"/>
    <x v="0"/>
  </r>
  <r>
    <n v="12103"/>
    <d v="2022-11-03T00:00:00"/>
    <x v="10"/>
    <x v="0"/>
    <x v="0"/>
    <x v="0"/>
    <s v="JOSÉ"/>
    <s v=""/>
    <s v=""/>
    <s v=""/>
    <x v="0"/>
    <x v="8"/>
    <s v="ELÉTRICO"/>
    <x v="0"/>
    <n v="10"/>
    <n v="0"/>
    <s v="ALINHAMENTO DA BARREIRA DE LUZ"/>
    <s v="C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s v="MECÂNICO"/>
    <x v="0"/>
    <n v="0"/>
    <n v="50"/>
    <s v="REALIZADO A TROCA DO REPARO DA CANETA"/>
    <s v="P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s v="MECÂNICO"/>
    <x v="0"/>
    <n v="20"/>
    <n v="0"/>
    <s v="DESTRAVAMENTO DA FACA"/>
    <s v="P"/>
    <s v="EQUIPAMENTO TRABALHANDO COM CARGA EXCESSIVA "/>
    <s v="PRENSA CORTE INNER DASH"/>
    <s v=""/>
    <x v="1"/>
    <x v="0"/>
    <x v="0"/>
  </r>
  <r>
    <n v="12614"/>
    <d v="2022-11-03T00:00:00"/>
    <x v="11"/>
    <x v="0"/>
    <x v="0"/>
    <x v="0"/>
    <s v="VALDEMAR"/>
    <s v=""/>
    <s v=""/>
    <s v=""/>
    <x v="0"/>
    <x v="8"/>
    <s v="MECÂNICO"/>
    <x v="0"/>
    <n v="25"/>
    <n v="0"/>
    <s v="REPARO DA SERPENTINA"/>
    <s v="P"/>
    <s v="EQUIPAMENTO TRABALHANDO COM CARGA EXCESSIVA "/>
    <s v="CORTE DO TETO  - WATER JET 2"/>
    <s v="UTE-03"/>
    <x v="1"/>
    <x v="0"/>
    <x v="0"/>
  </r>
  <r>
    <n v="12636"/>
    <d v="2022-11-03T00:00:00"/>
    <x v="11"/>
    <x v="0"/>
    <x v="0"/>
    <x v="0"/>
    <s v="VALDEMAR"/>
    <s v=""/>
    <s v=""/>
    <s v=""/>
    <x v="0"/>
    <x v="11"/>
    <s v="MECÂNICO"/>
    <x v="0"/>
    <n v="27"/>
    <n v="0"/>
    <s v="LIMPEZA DA CONTENÇÃO"/>
    <s v="P"/>
    <s v="EQUIPAMENTO TRABALHANDO COM CARGA EXCESSIVA "/>
    <s v="PRENSA MOLDAGEM 1"/>
    <s v=""/>
    <x v="1"/>
    <x v="0"/>
    <x v="0"/>
  </r>
  <r>
    <n v="12637"/>
    <d v="2022-11-03T00:00:00"/>
    <x v="10"/>
    <x v="0"/>
    <x v="0"/>
    <x v="0"/>
    <s v="JOSÉ"/>
    <s v=""/>
    <s v=""/>
    <s v=""/>
    <x v="0"/>
    <x v="12"/>
    <s v="ELÉTRICO"/>
    <x v="0"/>
    <n v="5"/>
    <n v="0"/>
    <s v="REARMADO DISJUNTOR"/>
    <s v="C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s v="MECÂNICO"/>
    <x v="0"/>
    <n v="59"/>
    <n v="0"/>
    <s v="TROCA DO MANÔMETRO E TROCA DA ANILHA"/>
    <s v="P"/>
    <s v="EQUIPAMENTO TRABALHANDO COM CARGA EXCESSIVA "/>
    <s v="PRENSA COM INJEÇÃO PU INNER 02"/>
    <s v=""/>
    <x v="1"/>
    <x v="0"/>
    <x v="0"/>
  </r>
  <r>
    <n v="12787"/>
    <d v="2022-11-03T00:00:00"/>
    <x v="10"/>
    <x v="5"/>
    <x v="0"/>
    <x v="0"/>
    <s v="JOSÉ"/>
    <s v="VALDEMAR"/>
    <s v=""/>
    <s v=""/>
    <x v="0"/>
    <x v="14"/>
    <s v="ELÉTRICO"/>
    <x v="0"/>
    <n v="0"/>
    <n v="0"/>
    <m/>
    <m/>
    <s v=""/>
    <s v="PRENSA SOLDA BATE PÉ"/>
    <s v="UTE-05"/>
    <x v="1"/>
    <x v="0"/>
    <x v="0"/>
  </r>
  <r>
    <n v="13962"/>
    <d v="2022-11-03T00:00:00"/>
    <x v="12"/>
    <x v="0"/>
    <x v="0"/>
    <x v="0"/>
    <s v="SILVIO"/>
    <s v=""/>
    <s v=""/>
    <s v=""/>
    <x v="1"/>
    <x v="6"/>
    <s v="ELÉTRICO"/>
    <x v="0"/>
    <n v="60"/>
    <n v="0"/>
    <s v="AJUSTE NO SSENSORES DO SITEMA"/>
    <s v="C"/>
    <s v="FALHA EM COMPONENTES ELETRONICO"/>
    <s v="PRENSA COM INJEÇÃO PU INNER 03"/>
    <s v=""/>
    <x v="1"/>
    <x v="0"/>
    <x v="0"/>
  </r>
  <r>
    <n v="12186"/>
    <d v="2022-11-04T00:00:00"/>
    <x v="12"/>
    <x v="0"/>
    <x v="0"/>
    <x v="0"/>
    <s v="SILVIO"/>
    <s v=""/>
    <s v=""/>
    <s v=""/>
    <x v="1"/>
    <x v="12"/>
    <s v="ELÉTRICO"/>
    <x v="0"/>
    <n v="30"/>
    <n v="0"/>
    <s v="RECUPERADO O CABO PARTIDO"/>
    <s v="C"/>
    <s v="FALHA EM COMPONENTES ELETRONICO"/>
    <s v="TERMOFORMAGEM GLASUTEC"/>
    <s v=""/>
    <x v="2"/>
    <x v="0"/>
    <x v="0"/>
  </r>
  <r>
    <n v="12498"/>
    <d v="2022-11-04T00:00:00"/>
    <x v="13"/>
    <x v="3"/>
    <x v="1"/>
    <x v="1"/>
    <s v="RUIGUENS"/>
    <s v=""/>
    <s v="ANDERSON"/>
    <s v="JOSINALDO"/>
    <x v="2"/>
    <x v="3"/>
    <s v="ELÉTRICO"/>
    <x v="0"/>
    <n v="40"/>
    <n v="0"/>
    <s v="FEITO ADAPTAÇÃO NA CAIXA DE BINÁRIO E SUBSTITUIDO OS RELÉS"/>
    <s v="C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s v="ELÉTRICO"/>
    <x v="0"/>
    <n v="20"/>
    <n v="0"/>
    <s v="SUBSTITUIDO OS RELÉS"/>
    <s v="C"/>
    <s v="FALHA EM COMPONENTES ELETRONICO"/>
    <s v="PRENSA CORTE TUNNEL"/>
    <s v="UTE-04"/>
    <x v="2"/>
    <x v="0"/>
    <x v="0"/>
  </r>
  <r>
    <n v="12792"/>
    <d v="2022-11-04T00:00:00"/>
    <x v="9"/>
    <x v="0"/>
    <x v="0"/>
    <x v="0"/>
    <s v="ROBERT"/>
    <s v=""/>
    <s v=""/>
    <s v=""/>
    <x v="1"/>
    <x v="16"/>
    <s v="MECÂNICO"/>
    <x v="0"/>
    <n v="0"/>
    <n v="13"/>
    <s v="TROCA DA SAFIRA"/>
    <s v="P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s v="ELÉTRICO"/>
    <x v="0"/>
    <n v="10"/>
    <n v="0"/>
    <s v="AJUSTE NOS SENSORES"/>
    <s v="C"/>
    <s v="FALHA EM COMPONENTES ELETRONICO"/>
    <s v="VIROLA DO TETO 521"/>
    <s v=""/>
    <x v="2"/>
    <x v="0"/>
    <x v="0"/>
  </r>
  <r>
    <n v="12837"/>
    <d v="2022-11-04T00:00:00"/>
    <x v="13"/>
    <x v="1"/>
    <x v="0"/>
    <x v="0"/>
    <s v="RUIGUENS"/>
    <s v="ANDERSON"/>
    <s v=""/>
    <s v=""/>
    <x v="2"/>
    <x v="1"/>
    <s v="MECÂNICO"/>
    <x v="0"/>
    <n v="20"/>
    <n v="0"/>
    <s v="FEITO LIMPEZA DA VÁLVULA DE ÁGUA"/>
    <s v="P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s v="MECÂNICO"/>
    <x v="0"/>
    <n v="60"/>
    <n v="0"/>
    <s v="CONEXÃO DO IBC DO POLIOL NÃO ESTA FUNCIONANDO "/>
    <s v="P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s v="ELÉTRICO"/>
    <x v="0"/>
    <n v="30"/>
    <n v="0"/>
    <s v="SUBSTITUIDO A BOBINA DO RELÉ "/>
    <s v="C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s v="MECÂNICO"/>
    <x v="0"/>
    <n v="5"/>
    <n v="0"/>
    <s v="LIMPEZA NA SAÍDA DA VÁLVULA "/>
    <s v="P"/>
    <s v="EQUIPAMENTO TRABALHANDO COM CARGA EXCESSIVA "/>
    <s v="PRENSA MOLDAGEM 2"/>
    <s v=""/>
    <x v="3"/>
    <x v="0"/>
    <x v="0"/>
  </r>
  <r>
    <n v="12826"/>
    <d v="2022-11-05T00:00:00"/>
    <x v="13"/>
    <x v="0"/>
    <x v="0"/>
    <x v="0"/>
    <s v="RUIGUENS"/>
    <s v=""/>
    <s v=""/>
    <s v=""/>
    <x v="2"/>
    <x v="8"/>
    <s v="MECÂNICO"/>
    <x v="0"/>
    <n v="30"/>
    <n v="0"/>
    <s v="TROCA DO REPARO"/>
    <s v="P"/>
    <s v="EQUIPAMENTO TRABALHANDO COM CARGA EXCESSIVA "/>
    <s v="CORTE DO TETO  - WATER JET 2"/>
    <s v=""/>
    <x v="3"/>
    <x v="0"/>
    <x v="0"/>
  </r>
  <r>
    <n v="12838"/>
    <d v="2022-11-06T00:00:00"/>
    <x v="11"/>
    <x v="0"/>
    <x v="0"/>
    <x v="0"/>
    <s v="VALDEMAR"/>
    <s v=""/>
    <s v=""/>
    <s v=""/>
    <x v="0"/>
    <x v="16"/>
    <s v="MECÂNICO"/>
    <x v="0"/>
    <n v="16"/>
    <n v="0"/>
    <s v="TROCADO DO REPARO DA AGULHA"/>
    <s v="P"/>
    <s v="EQUIPAMENTO TRABALHANDO COM CARGA EXCESSIVA "/>
    <s v="CORTE DO CARPETE- WATER JET"/>
    <s v="UTE-05"/>
    <x v="4"/>
    <x v="0"/>
    <x v="0"/>
  </r>
  <r>
    <n v="12840"/>
    <d v="2022-11-06T00:00:00"/>
    <x v="14"/>
    <x v="5"/>
    <x v="0"/>
    <x v="0"/>
    <s v="EDUARDO"/>
    <s v="VALDEMAR"/>
    <s v=""/>
    <s v=""/>
    <x v="0"/>
    <x v="20"/>
    <s v="MECÂNICO"/>
    <x v="0"/>
    <n v="300"/>
    <n v="0"/>
    <s v="DESOBSTRUÇÃO DA CÂMARA DE MISTURA; SUBSTITUILÇAO DA MANGUIERA DE RETORNO; LIMPEZA DAS CONEXÕES E BLOCOS DO MATERIAL AGITADO"/>
    <s v="P"/>
    <s v="EQUIPAMENTO TRABALHANDO COM CARGA EXCESSIVA "/>
    <s v="PRENSA COM INJEÇÃO PU 1"/>
    <s v=""/>
    <x v="4"/>
    <x v="0"/>
    <x v="0"/>
  </r>
  <r>
    <n v="12953"/>
    <d v="2022-11-06T00:00:00"/>
    <x v="10"/>
    <x v="0"/>
    <x v="0"/>
    <x v="0"/>
    <s v="JOSÉ"/>
    <s v=""/>
    <s v=""/>
    <s v=""/>
    <x v="0"/>
    <x v="9"/>
    <s v="ELÉTRICO"/>
    <x v="0"/>
    <n v="10"/>
    <n v="0"/>
    <s v="REARMADO DISJUNTOR"/>
    <s v="C"/>
    <s v="FALHA EM COMPONENTES ELETRONICO"/>
    <s v=""/>
    <s v=""/>
    <x v="4"/>
    <x v="0"/>
    <x v="0"/>
  </r>
  <r>
    <n v="12954"/>
    <d v="2022-11-06T00:00:00"/>
    <x v="14"/>
    <x v="0"/>
    <x v="0"/>
    <x v="0"/>
    <s v="EDUARDO"/>
    <s v=""/>
    <s v=""/>
    <s v=""/>
    <x v="0"/>
    <x v="1"/>
    <s v="MECÂNICO"/>
    <x v="0"/>
    <n v="60"/>
    <n v="0"/>
    <s v="VERIFICADO A LIMPEZA DA VÁLVULA E MIX DE MISTURA E REPOSCIONADO AS VÁLVULAS "/>
    <s v="P"/>
    <s v="EQUIPAMENTO TRABALHANDO COM CARGA EXCESSIVA "/>
    <s v="ROBÔ ABB APLIC. COLA DO TETO"/>
    <s v=""/>
    <x v="4"/>
    <x v="0"/>
    <x v="0"/>
  </r>
  <r>
    <n v="12957"/>
    <d v="2022-11-06T00:00:00"/>
    <x v="10"/>
    <x v="0"/>
    <x v="0"/>
    <x v="0"/>
    <s v="JOSÉ"/>
    <s v=""/>
    <s v=""/>
    <s v=""/>
    <x v="0"/>
    <x v="12"/>
    <s v="ELÉTRICO"/>
    <x v="0"/>
    <n v="7"/>
    <n v="0"/>
    <s v="REARMADO DISJUNTOR"/>
    <s v="C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s v="MECÂNICO"/>
    <x v="0"/>
    <n v="20"/>
    <n v="0"/>
    <s v="LIMPEZA DO GICLÊ"/>
    <s v="P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s v="MECÂNICO"/>
    <x v="0"/>
    <n v="55"/>
    <n v="0"/>
    <s v="FEITO DESLOCAMENTO DA HASTE NA BUCHA DO MIX"/>
    <s v="P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s v="MECÂNICO"/>
    <x v="0"/>
    <n v="20"/>
    <n v="0"/>
    <s v="FEITO A TROCA DO EMGATE"/>
    <s v="P"/>
    <s v="EQUIPAMENTO TRABALHANDO COM CARGA EXCESSIVA "/>
    <s v="PRENSA ACOPL. TECIDO DO TETO 2"/>
    <s v=""/>
    <x v="5"/>
    <x v="0"/>
    <x v="0"/>
  </r>
  <r>
    <n v="12828"/>
    <d v="2022-11-07T00:00:00"/>
    <x v="15"/>
    <x v="0"/>
    <x v="0"/>
    <x v="0"/>
    <s v="GENILSON"/>
    <s v=""/>
    <s v=""/>
    <s v=""/>
    <x v="1"/>
    <x v="17"/>
    <s v="MECÂNICO"/>
    <x v="0"/>
    <n v="20"/>
    <n v="0"/>
    <s v="TROCA DA CONEXÃO"/>
    <s v="P"/>
    <s v="EQUIPAMENTO TRABALHANDO COM CARGA EXCESSIVA "/>
    <s v="VIROLA DO TETO 521"/>
    <s v=""/>
    <x v="5"/>
    <x v="0"/>
    <x v="0"/>
  </r>
  <r>
    <n v="12835"/>
    <d v="2022-11-07T00:00:00"/>
    <x v="12"/>
    <x v="0"/>
    <x v="0"/>
    <x v="0"/>
    <s v="SILVIO"/>
    <s v=""/>
    <s v=""/>
    <s v=""/>
    <x v="1"/>
    <x v="11"/>
    <s v="MECÂNICO"/>
    <x v="0"/>
    <n v="5"/>
    <n v="0"/>
    <s v="IDENTIFICADO RACHADURA NA PARTE DO CILINDRO"/>
    <s v="P"/>
    <s v="EQUIPAMENTO TRABALHANDO COM CARGA EXCESSIVA "/>
    <s v="PRENSA MOLDAGEM 1"/>
    <s v=""/>
    <x v="5"/>
    <x v="0"/>
    <x v="0"/>
  </r>
  <r>
    <n v="12839"/>
    <d v="2022-11-07T00:00:00"/>
    <x v="11"/>
    <x v="0"/>
    <x v="0"/>
    <x v="0"/>
    <s v="VALDEMAR"/>
    <s v=""/>
    <s v=""/>
    <s v=""/>
    <x v="0"/>
    <x v="7"/>
    <s v="MECÂNICO"/>
    <x v="0"/>
    <n v="30"/>
    <n v="0"/>
    <s v="REALIZADO A REPOSÇÃO DO CABEÇOTE"/>
    <s v="P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s v="MECÂNICO"/>
    <x v="0"/>
    <n v="40"/>
    <n v="0"/>
    <s v="REPARO DA SERPENTINA"/>
    <s v="P"/>
    <s v="EQUIPAMENTO TRABALHANDO COM CARGA EXCESSIVA "/>
    <s v="CORTE DO CARPETE- WATER JET"/>
    <s v=""/>
    <x v="5"/>
    <x v="0"/>
    <x v="0"/>
  </r>
  <r>
    <n v="12843"/>
    <d v="2022-11-07T00:00:00"/>
    <x v="15"/>
    <x v="0"/>
    <x v="0"/>
    <x v="0"/>
    <s v="GENILSON"/>
    <s v=""/>
    <s v=""/>
    <s v=""/>
    <x v="1"/>
    <x v="22"/>
    <s v="ELÉTRICO"/>
    <x v="0"/>
    <n v="25"/>
    <n v="0"/>
    <s v="LIMPEZA E AJUSTE NA BARRERIA DE LUZ"/>
    <s v="C"/>
    <s v="FALHA EM COMPONENTES ELETRONICO"/>
    <s v="PRENSA COM INJEÇÃO PU 2"/>
    <s v=""/>
    <x v="5"/>
    <x v="0"/>
    <x v="0"/>
  </r>
  <r>
    <n v="12845"/>
    <d v="2022-11-07T00:00:00"/>
    <x v="15"/>
    <x v="0"/>
    <x v="0"/>
    <x v="0"/>
    <s v="GENILSON"/>
    <s v=""/>
    <s v=""/>
    <s v=""/>
    <x v="1"/>
    <x v="14"/>
    <s v="ELÉTRICO"/>
    <x v="0"/>
    <n v="20"/>
    <n v="0"/>
    <s v="REFERENCIAMENTO DAS MESAS"/>
    <s v="O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s v="MECÂNICO"/>
    <x v="0"/>
    <n v="45"/>
    <n v="0"/>
    <s v="LIMPEZA DO GICLÊ"/>
    <s v="P"/>
    <s v="EQUIPAMENTO TRABALHANDO COM CARGA EXCESSIVA "/>
    <s v="PRENSA DE MOLDAGEM CARPETE"/>
    <s v=""/>
    <x v="5"/>
    <x v="0"/>
    <x v="0"/>
  </r>
  <r>
    <n v="12916"/>
    <d v="2022-11-07T00:00:00"/>
    <x v="13"/>
    <x v="7"/>
    <x v="0"/>
    <x v="0"/>
    <s v="RUIGUENS"/>
    <s v="RAFAEL"/>
    <s v=""/>
    <s v=""/>
    <x v="2"/>
    <x v="21"/>
    <s v="MECÂNICO"/>
    <x v="0"/>
    <n v="60"/>
    <n v="0"/>
    <s v="NÍVEL DE ÓLEO COMPLETADO"/>
    <s v="P"/>
    <s v="EQUIPAMENTO TRABALHANDO COM CARGA EXCESSIVA "/>
    <s v="PRENSA ACOPL. TECIDO DO TETO 2"/>
    <s v=""/>
    <x v="5"/>
    <x v="0"/>
    <x v="0"/>
  </r>
  <r>
    <n v="12955"/>
    <d v="2022-11-07T00:00:00"/>
    <x v="11"/>
    <x v="0"/>
    <x v="0"/>
    <x v="0"/>
    <s v="VALDEMAR"/>
    <s v=""/>
    <s v=""/>
    <s v=""/>
    <x v="0"/>
    <x v="1"/>
    <s v="MECÂNICO"/>
    <x v="0"/>
    <n v="225"/>
    <n v="0"/>
    <s v="SUBSTITUIDO A MAGUEIRA DO ATUADOR E DESOBSTRUIDO AS VÁLVUALS E CONEXÕES"/>
    <s v="P"/>
    <s v="EQUIPAMENTO TRABALHANDO COM CARGA EXCESSIVA "/>
    <s v="ROBÔ ABB APLIC. COLA DO TETO"/>
    <s v=""/>
    <x v="5"/>
    <x v="0"/>
    <x v="0"/>
  </r>
  <r>
    <n v="12956"/>
    <d v="2022-11-07T00:00:00"/>
    <x v="10"/>
    <x v="0"/>
    <x v="0"/>
    <x v="0"/>
    <s v="JOSÉ"/>
    <s v=""/>
    <s v=""/>
    <s v=""/>
    <x v="0"/>
    <x v="19"/>
    <s v="ELÉTRICO"/>
    <x v="0"/>
    <n v="5"/>
    <n v="0"/>
    <s v="REARMADO DISJUNTOR"/>
    <s v="C"/>
    <s v="FALHA EM COMPONENTES ELETRONICO"/>
    <s v="PRENSA MOLDAGEM 2"/>
    <s v=""/>
    <x v="5"/>
    <x v="0"/>
    <x v="0"/>
  </r>
  <r>
    <n v="12958"/>
    <d v="2022-11-07T00:00:00"/>
    <x v="10"/>
    <x v="0"/>
    <x v="0"/>
    <x v="0"/>
    <s v="JOSÉ"/>
    <s v=""/>
    <s v=""/>
    <s v=""/>
    <x v="0"/>
    <x v="23"/>
    <s v="ELÉTRICO"/>
    <x v="0"/>
    <n v="20"/>
    <n v="0"/>
    <s v="FECHADO A PORTA PARA NORMALIZAÇÃO DE TEMPERATURA"/>
    <s v="C"/>
    <s v="FALHA EM COMPONENTES ELETRONICO"/>
    <s v=""/>
    <s v=""/>
    <x v="5"/>
    <x v="0"/>
    <x v="0"/>
  </r>
  <r>
    <n v="12959"/>
    <d v="2022-11-07T00:00:00"/>
    <x v="13"/>
    <x v="7"/>
    <x v="0"/>
    <x v="0"/>
    <s v="RUIGUENS"/>
    <s v="RAFAEL"/>
    <s v=""/>
    <s v=""/>
    <x v="2"/>
    <x v="24"/>
    <s v="MECÂNICO"/>
    <x v="0"/>
    <n v="20"/>
    <n v="0"/>
    <s v="LIMPEZA NA LINHA DO RETORNO"/>
    <s v="P"/>
    <s v="EQUIPAMENTO TRABALHANDO COM CARGA EXCESSIVA "/>
    <s v="PRENSA ACOPLAGEM CARPETE"/>
    <s v=""/>
    <x v="5"/>
    <x v="0"/>
    <x v="0"/>
  </r>
  <r>
    <s v="-"/>
    <d v="2022-11-07T00:00:00"/>
    <x v="13"/>
    <x v="0"/>
    <x v="0"/>
    <x v="0"/>
    <s v="RUIGUENS"/>
    <s v=""/>
    <s v=""/>
    <s v=""/>
    <x v="2"/>
    <x v="25"/>
    <s v="MECÂNICO"/>
    <x v="0"/>
    <n v="8"/>
    <n v="0"/>
    <s v="COLOCADO BASE NO LUGAR"/>
    <s v="P"/>
    <s v="EQUIPAMENTO TRABALHANDO COM CARGA EXCESSIVA "/>
    <s v=""/>
    <s v=""/>
    <x v="5"/>
    <x v="0"/>
    <x v="0"/>
  </r>
  <r>
    <s v="-"/>
    <d v="2022-11-07T00:00:00"/>
    <x v="13"/>
    <x v="7"/>
    <x v="0"/>
    <x v="0"/>
    <s v="RUIGUENS"/>
    <s v="RAFAEL"/>
    <s v=""/>
    <s v=""/>
    <x v="2"/>
    <x v="26"/>
    <s v="MECÂNICO"/>
    <x v="0"/>
    <n v="25"/>
    <n v="0"/>
    <s v="LIMPEZA NO BICO "/>
    <s v="P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s v="MECÂNICO"/>
    <x v="0"/>
    <n v="10"/>
    <n v="0"/>
    <s v="TROCA DA CONEXÃO"/>
    <s v="P"/>
    <s v="EQUIPAMENTO TRABALHANDO COM CARGA EXCESSIVA "/>
    <s v=""/>
    <s v=""/>
    <x v="5"/>
    <x v="0"/>
    <x v="0"/>
  </r>
  <r>
    <n v="12195"/>
    <d v="2022-11-08T00:00:00"/>
    <x v="13"/>
    <x v="2"/>
    <x v="4"/>
    <x v="0"/>
    <s v="RUIGUENS"/>
    <s v="JOSINALDO"/>
    <s v="RAFAEL"/>
    <s v=""/>
    <x v="2"/>
    <x v="11"/>
    <s v="MECÂNICO"/>
    <x v="0"/>
    <n v="56"/>
    <n v="0"/>
    <s v="NÍVEL DE ÓLEO COMPLETADO"/>
    <s v="P"/>
    <s v="EQUIPAMENTO TRABALHANDO COM CARGA EXCESSIVA "/>
    <s v="PRENSA MOLDAGEM 1"/>
    <s v=""/>
    <x v="6"/>
    <x v="0"/>
    <x v="0"/>
  </r>
  <r>
    <n v="12655"/>
    <d v="2022-11-08T00:00:00"/>
    <x v="11"/>
    <x v="0"/>
    <x v="0"/>
    <x v="0"/>
    <s v="VALDEMAR"/>
    <s v=""/>
    <s v=""/>
    <s v=""/>
    <x v="0"/>
    <x v="28"/>
    <s v="MECÂNICO"/>
    <x v="0"/>
    <n v="87"/>
    <n v="0"/>
    <s v="TROCADO O PARAFUSO E OS ESPAÇADORES"/>
    <s v="P"/>
    <s v="EQUIPAMENTO TRABALHANDO COM CARGA EXCESSIVA "/>
    <s v="PRENSA MOLDAGEM INNER DASH"/>
    <s v=""/>
    <x v="6"/>
    <x v="0"/>
    <x v="0"/>
  </r>
  <r>
    <n v="12918"/>
    <d v="2022-11-08T00:00:00"/>
    <x v="9"/>
    <x v="8"/>
    <x v="0"/>
    <x v="0"/>
    <s v="ROBERT"/>
    <s v="DANILLO"/>
    <s v=""/>
    <s v=""/>
    <x v="1"/>
    <x v="29"/>
    <s v="MECÂNICO"/>
    <x v="0"/>
    <n v="18"/>
    <n v="0"/>
    <s v="LIMPEZA NO BICO DA PISTOLA DE COLA"/>
    <s v="P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s v="MECÂNICO"/>
    <x v="0"/>
    <n v="170"/>
    <n v="0"/>
    <s v="COMPLETADO NÍVEL DE ÓLEO"/>
    <s v="P"/>
    <s v="EQUIPAMENTO TRABALHANDO COM CARGA EXCESSIVA "/>
    <s v="PRENSA MOLDAGEM HOOD"/>
    <s v=""/>
    <x v="6"/>
    <x v="0"/>
    <x v="0"/>
  </r>
  <r>
    <n v="12920"/>
    <d v="2022-11-08T00:00:00"/>
    <x v="12"/>
    <x v="0"/>
    <x v="0"/>
    <x v="0"/>
    <s v="SILVIO"/>
    <s v=""/>
    <s v=""/>
    <s v=""/>
    <x v="1"/>
    <x v="29"/>
    <s v="ELÉTRICO"/>
    <x v="0"/>
    <n v="25"/>
    <n v="0"/>
    <s v="AJUSTE NO GATILHO DA PISTOLA"/>
    <s v="C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s v="MECÂNICO"/>
    <x v="0"/>
    <n v="40"/>
    <n v="0"/>
    <s v="REPOSICIONADO O CABO"/>
    <s v="P"/>
    <s v="EQUIPAMENTO TRABALHANDO COM CARGA EXCESSIVA "/>
    <s v="PRENSA COM INJEÇÃO PU INNER 03"/>
    <s v=""/>
    <x v="6"/>
    <x v="0"/>
    <x v="0"/>
  </r>
  <r>
    <n v="12960"/>
    <d v="2022-11-08T00:00:00"/>
    <x v="10"/>
    <x v="0"/>
    <x v="0"/>
    <x v="0"/>
    <s v="JOSÉ"/>
    <s v=""/>
    <s v=""/>
    <s v=""/>
    <x v="0"/>
    <x v="30"/>
    <s v="ELÉTRICO"/>
    <x v="0"/>
    <n v="90"/>
    <n v="0"/>
    <s v="SUBSTITUIDO 3 CONETORES DA RESISTÊNCIA"/>
    <s v="C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s v="ELÉTRICO"/>
    <x v="0"/>
    <n v="0"/>
    <n v="10"/>
    <s v="RESET DO INVERSOR DE FREQUÊNCIA"/>
    <s v="C"/>
    <s v="FALHA EM COMPONENTES ELETRONICO"/>
    <s v="INJETORA CARPETE"/>
    <s v=""/>
    <x v="6"/>
    <x v="0"/>
    <x v="0"/>
  </r>
  <r>
    <n v="12962"/>
    <d v="2022-11-08T00:00:00"/>
    <x v="9"/>
    <x v="0"/>
    <x v="0"/>
    <x v="0"/>
    <s v="ROBERT"/>
    <s v=""/>
    <s v=""/>
    <s v=""/>
    <x v="1"/>
    <x v="16"/>
    <s v="MECÂNICO"/>
    <x v="0"/>
    <n v="50"/>
    <n v="0"/>
    <s v="REPARO DA SERPENTINA"/>
    <s v="P"/>
    <s v="EQUIPAMENTO TRABALHANDO COM CARGA EXCESSIVA "/>
    <s v="CORTE DO CARPETE- WATER JET"/>
    <s v=""/>
    <x v="6"/>
    <x v="0"/>
    <x v="0"/>
  </r>
  <r>
    <n v="12963"/>
    <d v="2022-11-08T00:00:00"/>
    <x v="9"/>
    <x v="0"/>
    <x v="0"/>
    <x v="0"/>
    <s v="ROBERT"/>
    <s v=""/>
    <s v=""/>
    <s v=""/>
    <x v="1"/>
    <x v="16"/>
    <s v="MECÂNICO"/>
    <x v="0"/>
    <n v="82"/>
    <n v="0"/>
    <s v="RECOLOCADO A HASTE DO CILINDRO"/>
    <s v="P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s v="MECÂNICO"/>
    <x v="0"/>
    <n v="57"/>
    <n v="0"/>
    <s v="MONTAGEM E LIMPEZA DAS BOMBAS"/>
    <s v="P"/>
    <s v="EQUIPAMENTO TRABALHANDO COM CARGA EXCESSIVA "/>
    <s v="INJETORA CARPETE"/>
    <s v=""/>
    <x v="6"/>
    <x v="0"/>
    <x v="0"/>
  </r>
  <r>
    <n v="12965"/>
    <d v="2022-11-09T00:00:00"/>
    <x v="11"/>
    <x v="10"/>
    <x v="5"/>
    <x v="0"/>
    <s v="VALDEMAR"/>
    <s v="EDUARDO"/>
    <s v="JOSÉ"/>
    <s v=""/>
    <x v="0"/>
    <x v="32"/>
    <s v="MECÂNICO"/>
    <x v="0"/>
    <n v="80"/>
    <n v="0"/>
    <s v="DESTRAVAMENTO DA PRENÇA"/>
    <s v="P"/>
    <s v="EQUIPAMENTO TRABALHANDO COM CARGA EXCESSIVA "/>
    <s v="PRENSA ACOPL. TECIDO DO TETO 1"/>
    <s v=""/>
    <x v="7"/>
    <x v="0"/>
    <x v="0"/>
  </r>
  <r>
    <n v="12966"/>
    <d v="2022-11-09T00:00:00"/>
    <x v="11"/>
    <x v="10"/>
    <x v="5"/>
    <x v="0"/>
    <s v="VALDEMAR"/>
    <s v="EDUARDO"/>
    <s v="JOSÉ"/>
    <s v=""/>
    <x v="0"/>
    <x v="8"/>
    <s v="MECÂNICO"/>
    <x v="0"/>
    <n v="20"/>
    <n v="0"/>
    <s v="REPOSICIONAMENTO DA MESA"/>
    <s v="P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s v="MECÂNICO"/>
    <x v="0"/>
    <n v="20"/>
    <n v="0"/>
    <s v="FEITO LIMPEZA NA REGIÃO DE SOLDA DO DESCANSO DO BATE-PÉ"/>
    <s v="P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ROBERT"/>
    <s v=""/>
    <s v=""/>
    <s v=""/>
    <x v="1"/>
    <x v="16"/>
    <s v="MECÂNICO"/>
    <x v="0"/>
    <n v="20"/>
    <n v="0"/>
    <s v="CALIBRAÇÃO E ATUALIZAÇÃO DOS EIXOS 1 E6"/>
    <s v="P"/>
    <s v="EQUIPAMENTO TRABALHANDO COM CARGA EXCESSIVA "/>
    <s v="CORTE DO CARPETE- WATER JET"/>
    <s v=""/>
    <x v="7"/>
    <x v="0"/>
    <x v="0"/>
  </r>
  <r>
    <n v="12968"/>
    <d v="2022-11-09T00:00:00"/>
    <x v="15"/>
    <x v="0"/>
    <x v="0"/>
    <x v="0"/>
    <s v="GENILSON"/>
    <s v=""/>
    <s v=""/>
    <s v=""/>
    <x v="1"/>
    <x v="16"/>
    <s v="MECÂNICO"/>
    <x v="0"/>
    <n v="20"/>
    <n v="0"/>
    <s v="CALIBRAÇÃO DOS EIXOS"/>
    <s v="P"/>
    <s v="EQUIPAMENTO TRABALHANDO COM CARGA EXCESSIVA "/>
    <s v="CORTE DO CARPETE- WATER JET"/>
    <s v=""/>
    <x v="7"/>
    <x v="0"/>
    <x v="0"/>
  </r>
  <r>
    <n v="12969"/>
    <d v="2022-11-09T00:00:00"/>
    <x v="9"/>
    <x v="0"/>
    <x v="0"/>
    <x v="0"/>
    <s v="ROBERT"/>
    <s v=""/>
    <s v=""/>
    <s v=""/>
    <x v="1"/>
    <x v="16"/>
    <s v="MECÂNICO"/>
    <x v="0"/>
    <n v="53"/>
    <n v="0"/>
    <s v="VAZAMENTO DE AGUA NA SERPENTINA DO ROBO 2"/>
    <s v="P"/>
    <s v="EQUIPAMENTO TRABALHANDO COM CARGA EXCESSIVA "/>
    <s v="CORTE DO CARPETE- WATER JET"/>
    <s v=""/>
    <x v="7"/>
    <x v="0"/>
    <x v="0"/>
  </r>
  <r>
    <n v="12970"/>
    <d v="2022-11-09T00:00:00"/>
    <x v="9"/>
    <x v="0"/>
    <x v="0"/>
    <x v="0"/>
    <s v="ROBERT"/>
    <s v=""/>
    <s v=""/>
    <s v=""/>
    <x v="1"/>
    <x v="33"/>
    <s v="MECÂNICO"/>
    <x v="0"/>
    <n v="48"/>
    <n v="0"/>
    <s v="REPARO DA SERPENTINA"/>
    <s v="P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s v="MECÂNICO"/>
    <x v="0"/>
    <n v="13"/>
    <n v="0"/>
    <s v="REPARO DA SERPENTINA"/>
    <s v="P"/>
    <s v="EQUIPAMENTO TRABALHANDO COM CARGA EXCESSIVA "/>
    <s v="CORTE DO CARPETE- WATER JET"/>
    <s v=""/>
    <x v="7"/>
    <x v="0"/>
    <x v="0"/>
  </r>
  <r>
    <n v="12638"/>
    <d v="2022-11-10T00:00:00"/>
    <x v="13"/>
    <x v="0"/>
    <x v="0"/>
    <x v="0"/>
    <s v="RUIGUENS"/>
    <s v=""/>
    <s v=""/>
    <s v=""/>
    <x v="2"/>
    <x v="1"/>
    <s v="MECÂNICO"/>
    <x v="0"/>
    <n v="150"/>
    <n v="0"/>
    <s v="TROCA DAS MANGUIERAS; LIMPEZA DAS CONEXÕES E DA VÁLVULA DO ATUADOR"/>
    <s v="P"/>
    <s v="EQUIPAMENTO TRABALHANDO COM CARGA EXCESSIVA "/>
    <s v="ROBÔ ABB APLIC. COLA DO TETO"/>
    <s v=""/>
    <x v="8"/>
    <x v="0"/>
    <x v="0"/>
  </r>
  <r>
    <n v="12974"/>
    <d v="2022-11-10T00:00:00"/>
    <x v="10"/>
    <x v="0"/>
    <x v="0"/>
    <x v="0"/>
    <s v="JOSÉ"/>
    <s v=""/>
    <s v=""/>
    <s v=""/>
    <x v="0"/>
    <x v="19"/>
    <s v="ELÉTRICO"/>
    <x v="0"/>
    <n v="4"/>
    <n v="0"/>
    <s v="REARMADO DISJUNTOR"/>
    <s v="C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s v="ELÉTRICO"/>
    <x v="0"/>
    <n v="25"/>
    <n v="0"/>
    <s v="DESTRAVAMENTO DA MÁQUIMA"/>
    <s v="C"/>
    <s v="FALHA EM COMPONENTES ELETRONICO"/>
    <s v=""/>
    <s v=""/>
    <x v="8"/>
    <x v="0"/>
    <x v="0"/>
  </r>
  <r>
    <n v="13101"/>
    <d v="2022-11-10T00:00:00"/>
    <x v="13"/>
    <x v="0"/>
    <x v="0"/>
    <x v="0"/>
    <s v="RUIGUENS"/>
    <s v=""/>
    <s v=""/>
    <s v=""/>
    <x v="2"/>
    <x v="25"/>
    <s v="ELÉTRICO"/>
    <x v="0"/>
    <n v="7"/>
    <n v="0"/>
    <s v="AJUSTE NO SENSOR DO CILINDRO"/>
    <s v="C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s v="ELÉTRICO"/>
    <x v="0"/>
    <n v="7"/>
    <n v="0"/>
    <s v="AJUSTE NA FREQUÊNCIA DO INVERSOR"/>
    <s v="C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s v="MECÂNICO"/>
    <x v="0"/>
    <n v="60"/>
    <n v="0"/>
    <s v="DESOBSTRUÇÃO DO GICLÊ"/>
    <s v="P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s v="MECÂNICO"/>
    <x v="0"/>
    <n v="60"/>
    <n v="0"/>
    <s v="DESTRAVAMENTO DA HASTE DE LIMPEZA"/>
    <s v="P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s v="MECÂNICO"/>
    <x v="0"/>
    <n v="57"/>
    <n v="0"/>
    <s v="TROCA DO REAPRO DA TUBULAÇÃO"/>
    <s v="P"/>
    <s v="EQUIPAMENTO TRABALHANDO COM CARGA EXCESSIVA "/>
    <s v="PRENSA MOLDAGEM 2"/>
    <s v=""/>
    <x v="9"/>
    <x v="0"/>
    <x v="0"/>
  </r>
  <r>
    <n v="12978"/>
    <d v="2022-11-12T00:00:00"/>
    <x v="11"/>
    <x v="10"/>
    <x v="0"/>
    <x v="0"/>
    <s v="VALDEMAR"/>
    <s v="EDUARDO"/>
    <s v=""/>
    <s v=""/>
    <x v="0"/>
    <x v="19"/>
    <s v="MECÂNICO"/>
    <x v="0"/>
    <n v="30"/>
    <n v="0"/>
    <s v="ABASTECIMENTO DA PRENSA"/>
    <s v="P"/>
    <s v="EQUIPAMENTO TRABALHANDO COM CARGA EXCESSIVA "/>
    <s v="PRENSA MOLDAGEM 2"/>
    <s v=""/>
    <x v="10"/>
    <x v="0"/>
    <x v="0"/>
  </r>
  <r>
    <n v="12647"/>
    <d v="2022-11-20T00:00:00"/>
    <x v="14"/>
    <x v="0"/>
    <x v="0"/>
    <x v="0"/>
    <s v="EDUARDO"/>
    <s v=""/>
    <s v=""/>
    <s v=""/>
    <x v="0"/>
    <x v="1"/>
    <s v="MECÂNICO"/>
    <x v="0"/>
    <n v="0"/>
    <n v="30"/>
    <s v="REALIZADA LIMPEZA DA VÁLVULA DO ATIVADOR"/>
    <s v="P"/>
    <s v="EQUIPAMENTO TRABALHANDO COM CARGA EXCESSIVA "/>
    <s v="ROBÔ ABB APLIC. COLA DO TETO"/>
    <s v=""/>
    <x v="11"/>
    <x v="0"/>
    <x v="0"/>
  </r>
  <r>
    <n v="12649"/>
    <d v="2022-11-20T00:00:00"/>
    <x v="14"/>
    <x v="0"/>
    <x v="0"/>
    <x v="0"/>
    <s v="EDUARDO"/>
    <s v=""/>
    <s v=""/>
    <s v=""/>
    <x v="0"/>
    <x v="1"/>
    <s v="MECÂNICO"/>
    <x v="0"/>
    <n v="0"/>
    <n v="210"/>
    <s v="REPOSICIONAMENTO DAS VÁLVULAS E SUBSTITUIÇÃO DAS MANGUEIRAS DO ATUADOR"/>
    <s v="P"/>
    <s v="EQUIPAMENTO TRABALHANDO COM CARGA EXCESSIVA "/>
    <s v="ROBÔ ABB APLIC. COLA DO TETO"/>
    <s v=""/>
    <x v="11"/>
    <x v="0"/>
    <x v="0"/>
  </r>
  <r>
    <n v="12657"/>
    <d v="2022-11-20T00:00:00"/>
    <x v="11"/>
    <x v="10"/>
    <x v="0"/>
    <x v="0"/>
    <s v="VALDEMAR"/>
    <s v="EDUARDO"/>
    <s v=""/>
    <s v=""/>
    <x v="0"/>
    <x v="13"/>
    <s v="MECÂNICO"/>
    <x v="0"/>
    <n v="0"/>
    <n v="60"/>
    <s v="DESMONTADO E LUBRIFICADO A VÁLVULA DE ATUAÇÃO DO CILINDRO"/>
    <s v="P"/>
    <s v="EQUIPAMENTO TRABALHANDO COM CARGA EXCESSIVA "/>
    <s v="PRENSA COM INJEÇÃO PU INNER 02"/>
    <s v=""/>
    <x v="11"/>
    <x v="0"/>
    <x v="0"/>
  </r>
  <r>
    <n v="15035"/>
    <d v="2022-11-20T00:00:00"/>
    <x v="11"/>
    <x v="11"/>
    <x v="0"/>
    <x v="0"/>
    <s v="VALDEMAR"/>
    <s v="JOSÉ"/>
    <s v=""/>
    <s v=""/>
    <x v="0"/>
    <x v="31"/>
    <s v="ELÉTRICO"/>
    <x v="0"/>
    <n v="0"/>
    <n v="2"/>
    <s v="LIGADO MEXEDOR NO IHM"/>
    <s v="C"/>
    <s v="FALHA EM COMPONENTES ELETRONICO"/>
    <s v="INJETORA CARPETE"/>
    <s v=""/>
    <x v="11"/>
    <x v="0"/>
    <x v="0"/>
  </r>
  <r>
    <n v="10052"/>
    <d v="2022-11-21T00:00:00"/>
    <x v="15"/>
    <x v="13"/>
    <x v="0"/>
    <x v="0"/>
    <s v="GENILSON"/>
    <s v="ELIAS"/>
    <s v=""/>
    <s v=""/>
    <x v="1"/>
    <x v="34"/>
    <s v="MECÂNICO"/>
    <x v="0"/>
    <n v="60"/>
    <n v="0"/>
    <s v="RETIRADO AR DA LINHA E DESTRVADO AS VÁLVULAS"/>
    <s v="P"/>
    <s v="EQUIPAMENTO TRABALHANDO COM CARGA EXCESSIVA "/>
    <s v="INJETORA CANON"/>
    <s v=""/>
    <x v="12"/>
    <x v="0"/>
    <x v="0"/>
  </r>
  <r>
    <n v="12646"/>
    <d v="2022-11-21T00:00:00"/>
    <x v="14"/>
    <x v="5"/>
    <x v="0"/>
    <x v="0"/>
    <s v="EDUARDO"/>
    <s v="VALDEMAR"/>
    <s v=""/>
    <s v=""/>
    <x v="0"/>
    <x v="19"/>
    <s v="MECÂNICO"/>
    <x v="0"/>
    <n v="35"/>
    <n v="0"/>
    <s v="NÍVEL DE ÓLEO COMPLETADO"/>
    <s v="P"/>
    <s v="EQUIPAMENTO TRABALHANDO COM CARGA EXCESSIVA "/>
    <s v="PRENSA MOLDAGEM 2"/>
    <s v=""/>
    <x v="12"/>
    <x v="0"/>
    <x v="0"/>
  </r>
  <r>
    <n v="12648"/>
    <d v="2022-11-21T00:00:00"/>
    <x v="10"/>
    <x v="0"/>
    <x v="0"/>
    <x v="0"/>
    <s v="JOSÉ"/>
    <s v=""/>
    <s v=""/>
    <s v=""/>
    <x v="0"/>
    <x v="30"/>
    <s v="ELÉTRICO"/>
    <x v="0"/>
    <n v="110"/>
    <n v="0"/>
    <s v="SUBSTITUIÇÃO DOS CONECTORES DA RESISTÊNCIA"/>
    <s v="C"/>
    <s v="FALHA EM COMPONENTES ELETRONICO"/>
    <s v="PRENSA TERMOFORMAGEM"/>
    <s v=""/>
    <x v="12"/>
    <x v="0"/>
    <x v="0"/>
  </r>
  <r>
    <n v="12658"/>
    <d v="2022-11-21T00:00:00"/>
    <x v="14"/>
    <x v="0"/>
    <x v="0"/>
    <x v="0"/>
    <s v="EDUARDO"/>
    <s v=""/>
    <s v=""/>
    <s v=""/>
    <x v="0"/>
    <x v="6"/>
    <s v="MECÂNICO"/>
    <x v="0"/>
    <n v="40"/>
    <n v="0"/>
    <s v="REFEITA A TUBULAÇÃO HIDRÁULICA"/>
    <s v="P"/>
    <s v="EQUIPAMENTO TRABALHANDO COM CARGA EXCESSIVA "/>
    <s v="PRENSA COM INJEÇÃO PU INNER 03"/>
    <s v=""/>
    <x v="12"/>
    <x v="0"/>
    <x v="0"/>
  </r>
  <r>
    <n v="12659"/>
    <d v="2022-11-21T00:00:00"/>
    <x v="14"/>
    <x v="5"/>
    <x v="0"/>
    <x v="0"/>
    <s v="EDUARDO"/>
    <s v="VALDEMAR"/>
    <s v=""/>
    <s v=""/>
    <x v="0"/>
    <x v="11"/>
    <s v="MECÂNICO"/>
    <x v="0"/>
    <n v="30"/>
    <n v="0"/>
    <s v="NÍVEL DE ÓLEO COMPLETADO"/>
    <s v="P"/>
    <s v="EQUIPAMENTO TRABALHANDO COM CARGA EXCESSIVA "/>
    <s v="PRENSA MOLDAGEM 1"/>
    <s v=""/>
    <x v="12"/>
    <x v="0"/>
    <x v="0"/>
  </r>
  <r>
    <n v="12660"/>
    <d v="2022-11-21T00:00:00"/>
    <x v="15"/>
    <x v="0"/>
    <x v="0"/>
    <x v="0"/>
    <s v="GENILSON"/>
    <s v=""/>
    <s v=""/>
    <s v=""/>
    <x v="1"/>
    <x v="0"/>
    <s v="ELÉTRICO"/>
    <x v="0"/>
    <n v="48"/>
    <n v="0"/>
    <s v="LIMPEZA NO PAINEL ELÉTRICO"/>
    <s v="C"/>
    <s v="FALHA EM COMPONENTES ELETRONICO"/>
    <s v="FORNO DO TETO"/>
    <s v=""/>
    <x v="12"/>
    <x v="0"/>
    <x v="0"/>
  </r>
  <r>
    <n v="12980"/>
    <d v="2022-11-21T00:00:00"/>
    <x v="15"/>
    <x v="13"/>
    <x v="0"/>
    <x v="0"/>
    <s v="GENILSON"/>
    <s v="ELIAS"/>
    <s v=""/>
    <s v=""/>
    <x v="1"/>
    <x v="19"/>
    <s v="MECÂNICO"/>
    <x v="0"/>
    <n v="130"/>
    <n v="0"/>
    <s v="NÍVEL DE ÓLEO COMPLETADO"/>
    <s v="P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s v="MECÂNICO"/>
    <x v="0"/>
    <n v="21"/>
    <n v="0"/>
    <s v="SUBSTITUIÇÃO DA MANGUEIRA"/>
    <s v="P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s v="MECÂNICO"/>
    <x v="0"/>
    <n v="12"/>
    <n v="0"/>
    <s v="LIMPEZA NO BLOBO DA PISTOLA"/>
    <s v="P"/>
    <s v="EQUIPAMENTO TRABALHANDO COM CARGA EXCESSIVA "/>
    <s v=""/>
    <s v=""/>
    <x v="12"/>
    <x v="0"/>
    <x v="0"/>
  </r>
  <r>
    <n v="13051"/>
    <d v="2022-11-21T00:00:00"/>
    <x v="15"/>
    <x v="0"/>
    <x v="0"/>
    <x v="0"/>
    <s v="GENILSON"/>
    <s v=""/>
    <s v=""/>
    <s v=""/>
    <x v="1"/>
    <x v="13"/>
    <s v="MECÂNICO"/>
    <x v="0"/>
    <n v="60"/>
    <n v="0"/>
    <s v="TROCA DO CABO DO SENSOR EIXO DE LIMPEZA"/>
    <s v="P"/>
    <s v="EQUIPAMENTO TRABALHANDO COM CARGA EXCESSIVA "/>
    <s v="PRENSA COM INJEÇÃO PU INNER 02"/>
    <s v=""/>
    <x v="12"/>
    <x v="0"/>
    <x v="0"/>
  </r>
  <r>
    <n v="13053"/>
    <d v="2022-11-21T00:00:00"/>
    <x v="13"/>
    <x v="3"/>
    <x v="0"/>
    <x v="0"/>
    <s v="RUIGUENS"/>
    <s v=""/>
    <s v=""/>
    <s v=""/>
    <x v="2"/>
    <x v="13"/>
    <s v="MECÂNICO"/>
    <x v="0"/>
    <n v="8"/>
    <n v="0"/>
    <s v="PILOTAGEM DA VÁLVULA"/>
    <s v="P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s v="MECÂNICO"/>
    <x v="0"/>
    <n v="69"/>
    <n v="0"/>
    <s v="SUBSTITUIÇÃO DA MANGUEIRA"/>
    <s v="P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s v="MECÂNICO"/>
    <x v="0"/>
    <n v="34"/>
    <n v="0"/>
    <s v="LIMPEZA NA AGULHA"/>
    <s v="P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s v="MECÂNICO"/>
    <x v="0"/>
    <n v="80"/>
    <n v="0"/>
    <s v="TROCA DA AGULHA E DO OCNJUNTO DE VEDAÇÃO"/>
    <s v="P"/>
    <s v="EQUIPAMENTO TRABALHANDO COM CARGA EXCESSIVA "/>
    <s v=""/>
    <s v=""/>
    <x v="12"/>
    <x v="0"/>
    <x v="0"/>
  </r>
  <r>
    <n v="13106"/>
    <d v="2022-11-21T00:00:00"/>
    <x v="9"/>
    <x v="0"/>
    <x v="0"/>
    <x v="0"/>
    <s v="ROBERT"/>
    <s v=""/>
    <s v=""/>
    <s v=""/>
    <x v="1"/>
    <x v="8"/>
    <s v="MECÂNICO"/>
    <x v="0"/>
    <n v="20"/>
    <n v="0"/>
    <s v="TROCA DA SAFIRA"/>
    <s v="P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s v="MECÂNICO"/>
    <x v="0"/>
    <n v="25"/>
    <n v="0"/>
    <s v="MAL CONTATO NO CABO DA VÁLVULA DO ROBÔ 2, COLOCADO ABRAÇADEIRA DE NYLON"/>
    <s v="P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s v="MECÂNICO"/>
    <x v="0"/>
    <n v="30"/>
    <n v="0"/>
    <s v="LIMPEZA E REGULAGEM DA AGULHA DA PISTOLA DE COLA 521; PISTOLA 2"/>
    <s v="P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s v="MECÂNICO"/>
    <x v="0"/>
    <n v="60"/>
    <n v="0"/>
    <s v="TROCA DA MANGUEIRA E LIMPEZA DO BLOCO DE COLA"/>
    <s v="P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s v="MECÂNICO"/>
    <x v="0"/>
    <n v="50"/>
    <n v="0"/>
    <s v="TROCA DO CABO DO SENSOR "/>
    <s v="P"/>
    <s v="EQUIPAMENTO TRABALHANDO COM CARGA EXCESSIVA "/>
    <s v="PRENSA COM INJEÇÃO PU 2"/>
    <s v=""/>
    <x v="12"/>
    <x v="0"/>
    <x v="0"/>
  </r>
  <r>
    <n v="13155"/>
    <d v="2022-11-21T00:00:00"/>
    <x v="12"/>
    <x v="0"/>
    <x v="0"/>
    <x v="0"/>
    <s v="SILVIO"/>
    <s v=""/>
    <s v=""/>
    <s v=""/>
    <x v="1"/>
    <x v="15"/>
    <s v="ELÉTRICO"/>
    <x v="0"/>
    <n v="30"/>
    <n v="0"/>
    <s v="FALHA NA CPU, FEITO LIMPEZA E REAPERTO"/>
    <s v="C"/>
    <s v="FALHA EM COMPONENTES ELETRONICO"/>
    <s v="PRENSA CORTE TUNNEL"/>
    <s v=""/>
    <x v="12"/>
    <x v="0"/>
    <x v="0"/>
  </r>
  <r>
    <n v="13156"/>
    <d v="2022-11-21T00:00:00"/>
    <x v="9"/>
    <x v="0"/>
    <x v="0"/>
    <x v="0"/>
    <s v="ROBERT"/>
    <s v=""/>
    <s v=""/>
    <s v=""/>
    <x v="1"/>
    <x v="16"/>
    <s v="MECÂNICO"/>
    <x v="0"/>
    <n v="20"/>
    <n v="0"/>
    <s v="DESOBSTRUÇÃO DA SAFIRA"/>
    <s v="P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3951"/>
    <d v="2022-11-21T00:00:00"/>
    <x v="13"/>
    <x v="7"/>
    <x v="0"/>
    <x v="0"/>
    <s v="RUIGUENS"/>
    <s v="RAFAEL"/>
    <s v=""/>
    <s v=""/>
    <x v="2"/>
    <x v="28"/>
    <s v="MECÂNICO"/>
    <x v="0"/>
    <n v="20"/>
    <n v="0"/>
    <s v="COLOCADO PISADOR NO LUGAR"/>
    <s v="P"/>
    <s v="EQUIPAMENTO TRABALHANDO COM CARGA EXCESSIVA "/>
    <s v="PRENSA MOLDAGEM INNER DASH"/>
    <s v=""/>
    <x v="12"/>
    <x v="0"/>
    <x v="0"/>
  </r>
  <r>
    <n v="15036"/>
    <d v="2022-11-21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2"/>
    <x v="0"/>
    <x v="0"/>
  </r>
  <r>
    <n v="15037"/>
    <d v="2022-11-21T00:00:00"/>
    <x v="11"/>
    <x v="0"/>
    <x v="0"/>
    <x v="0"/>
    <s v="VALDEMAR"/>
    <s v=""/>
    <s v=""/>
    <s v=""/>
    <x v="0"/>
    <x v="16"/>
    <s v="ELÉTRICO"/>
    <x v="0"/>
    <n v="20"/>
    <n v="0"/>
    <s v="FALHA INTERMITENTE"/>
    <s v="P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s v="ELÉTRICO"/>
    <x v="0"/>
    <n v="40"/>
    <n v="0"/>
    <s v="TROCA DO SENSOR E FIXAÇÃO DA BASE DO MESMO"/>
    <s v="C"/>
    <s v="FALHA EM COMPONENTES ELETRONICO"/>
    <s v="ROBÔ ABB APLIC. COLA DO TETO"/>
    <s v=""/>
    <x v="13"/>
    <x v="0"/>
    <x v="0"/>
  </r>
  <r>
    <n v="13008"/>
    <d v="2022-11-22T00:00:00"/>
    <x v="10"/>
    <x v="0"/>
    <x v="0"/>
    <x v="0"/>
    <s v="JOSÉ"/>
    <s v=""/>
    <s v=""/>
    <s v=""/>
    <x v="0"/>
    <x v="11"/>
    <s v="ELÉTRICO"/>
    <x v="0"/>
    <n v="10"/>
    <n v="0"/>
    <s v="REARMADO DISJUNTOR"/>
    <s v="C"/>
    <s v="FALHA EM COMPONENTES ELETRONICO"/>
    <s v="PRENSA MOLDAGEM 1"/>
    <s v=""/>
    <x v="13"/>
    <x v="0"/>
    <x v="0"/>
  </r>
  <r>
    <n v="13010"/>
    <d v="2022-11-22T00:00:00"/>
    <x v="10"/>
    <x v="0"/>
    <x v="0"/>
    <x v="0"/>
    <s v="JOSÉ"/>
    <s v=""/>
    <s v=""/>
    <s v=""/>
    <x v="0"/>
    <x v="19"/>
    <s v="ELÉTRICO"/>
    <x v="0"/>
    <n v="5"/>
    <n v="0"/>
    <s v="RESET"/>
    <s v="C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s v="MECÂNICO"/>
    <x v="0"/>
    <n v="18"/>
    <n v="0"/>
    <s v="ALINHAMENTO DA TUBULAÇÃO HIDRÁULICA"/>
    <s v="P"/>
    <s v="EQUIPAMENTO TRABALHANDO COM CARGA EXCESSIVA "/>
    <s v="PRENSA DE CORTE DO TETO"/>
    <s v=""/>
    <x v="13"/>
    <x v="0"/>
    <x v="0"/>
  </r>
  <r>
    <n v="13102"/>
    <d v="2022-11-22T00:00:00"/>
    <x v="15"/>
    <x v="0"/>
    <x v="0"/>
    <x v="0"/>
    <s v="GENILSON"/>
    <s v=""/>
    <s v=""/>
    <s v=""/>
    <x v="1"/>
    <x v="8"/>
    <s v="MECÂNICO"/>
    <x v="0"/>
    <n v="50"/>
    <n v="0"/>
    <s v="TROCA DA SAFIRA"/>
    <s v="P"/>
    <s v="EQUIPAMENTO TRABALHANDO COM CARGA EXCESSIVA "/>
    <s v="CORTE DO TETO  - WATER JET 2"/>
    <s v=""/>
    <x v="13"/>
    <x v="0"/>
    <x v="0"/>
  </r>
  <r>
    <n v="13109"/>
    <d v="2022-11-22T00:00:00"/>
    <x v="12"/>
    <x v="0"/>
    <x v="0"/>
    <x v="0"/>
    <s v="SILVIO"/>
    <s v=""/>
    <s v=""/>
    <s v=""/>
    <x v="1"/>
    <x v="1"/>
    <s v="ELÉTRICO"/>
    <x v="0"/>
    <n v="25"/>
    <n v="0"/>
    <s v="BANDEJA DO ROBO DE COLA PASSANDO DIRETO"/>
    <s v="P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s v="MECÂNICO"/>
    <x v="0"/>
    <n v="50"/>
    <n v="0"/>
    <s v="TROCA DO KIT DA AGULHA COM VEDAÇÃO ORING DA PISTOLA 2"/>
    <s v="P"/>
    <s v="EQUIPAMENTO TRABALHANDO COM CARGA EXCESSIVA "/>
    <s v=""/>
    <s v=""/>
    <x v="13"/>
    <x v="0"/>
    <x v="0"/>
  </r>
  <r>
    <n v="13111"/>
    <d v="2022-11-22T00:00:00"/>
    <x v="15"/>
    <x v="15"/>
    <x v="0"/>
    <x v="0"/>
    <s v="GENILSON"/>
    <s v="ROBERT"/>
    <s v=""/>
    <s v=""/>
    <x v="1"/>
    <x v="39"/>
    <s v="ELÉTRICO"/>
    <x v="0"/>
    <n v="120"/>
    <n v="0"/>
    <s v="AJUSTE NO CIRCUITO DE AQUECIMENTO DA PISTOLA"/>
    <s v="C"/>
    <s v="FALHA EM COMPONENTES ELETRONICO"/>
    <s v=""/>
    <s v=""/>
    <x v="13"/>
    <x v="0"/>
    <x v="0"/>
  </r>
  <r>
    <n v="13113"/>
    <d v="2022-11-22T00:00:00"/>
    <x v="12"/>
    <x v="9"/>
    <x v="6"/>
    <x v="0"/>
    <s v="SILVIO"/>
    <s v="RONALDO"/>
    <s v="GENILSON"/>
    <s v=""/>
    <x v="1"/>
    <x v="17"/>
    <s v="MECÂNICO"/>
    <x v="0"/>
    <n v="20"/>
    <n v="0"/>
    <s v="REMOÇÃO DE FALHA NA SÉRIE DE EMERGÊNCIA"/>
    <s v="P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s v="MECÂNICO"/>
    <x v="0"/>
    <n v="20"/>
    <n v="0"/>
    <s v="LIMPEZA DO BLOCO"/>
    <s v="P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s v="MECÂNICO"/>
    <x v="0"/>
    <n v="30"/>
    <n v="0"/>
    <s v="TROCA DO ORING"/>
    <s v="P"/>
    <s v="EQUIPAMENTO TRABALHANDO COM CARGA EXCESSIVA "/>
    <s v=""/>
    <s v=""/>
    <x v="13"/>
    <x v="0"/>
    <x v="0"/>
  </r>
  <r>
    <n v="13116"/>
    <d v="2022-11-22T00:00:00"/>
    <x v="15"/>
    <x v="0"/>
    <x v="0"/>
    <x v="0"/>
    <s v="GENILSON"/>
    <s v=""/>
    <s v=""/>
    <s v=""/>
    <x v="1"/>
    <x v="17"/>
    <s v="ELÉTRICO"/>
    <x v="0"/>
    <n v="25"/>
    <n v="0"/>
    <s v="RESET NO CLP"/>
    <s v="C"/>
    <s v="FALHA EM COMPONENTES ELETRONICO"/>
    <s v="VIROLA DO TETO 521"/>
    <s v=""/>
    <x v="13"/>
    <x v="0"/>
    <x v="0"/>
  </r>
  <r>
    <n v="13158"/>
    <d v="2022-11-22T00:00:00"/>
    <x v="10"/>
    <x v="0"/>
    <x v="0"/>
    <x v="0"/>
    <s v="JOSÉ"/>
    <s v=""/>
    <s v=""/>
    <s v=""/>
    <x v="0"/>
    <x v="14"/>
    <s v="ELÉTRICO"/>
    <x v="0"/>
    <n v="10"/>
    <n v="0"/>
    <s v="REFERENCIAMENTO DAS MESAS"/>
    <s v="O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s v="MECÂNICO"/>
    <x v="0"/>
    <n v="30"/>
    <n v="0"/>
    <s v="LIMPEZA NO BLOBO  E NO BICO DO ROBÔ"/>
    <s v="P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s v="MECÂNICO"/>
    <x v="0"/>
    <n v="15"/>
    <n v="0"/>
    <s v="FEITO AJUSTE NO SENSOR DO CILINDRO E REFERENCIADO O ROBÔ 1"/>
    <s v="P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s v="ELÉTRICO"/>
    <x v="0"/>
    <n v="17"/>
    <n v="0"/>
    <s v="SUBSTITUIÇÃO DO FIM DE CURSO"/>
    <s v="C"/>
    <s v="FALHA EM COMPONENTES ELETRONICO"/>
    <s v="PRENSA DE ACOPLAGEM TPO"/>
    <s v=""/>
    <x v="13"/>
    <x v="0"/>
    <x v="0"/>
  </r>
  <r>
    <n v="13952"/>
    <d v="2022-11-22T00:00:00"/>
    <x v="14"/>
    <x v="0"/>
    <x v="0"/>
    <x v="0"/>
    <s v="EDUARDO"/>
    <s v=""/>
    <s v=""/>
    <s v=""/>
    <x v="0"/>
    <x v="13"/>
    <s v="MECÂNICO"/>
    <x v="0"/>
    <n v="20"/>
    <n v="0"/>
    <s v="ACIONAMENTO MANUAL PARA DESTRAVAR A VÁLVULA DE MISTURA"/>
    <s v="P"/>
    <s v="EQUIPAMENTO TRABALHANDO COM CARGA EXCESSIVA "/>
    <s v="PRENSA COM INJEÇÃO PU INNER 02"/>
    <s v=""/>
    <x v="13"/>
    <x v="0"/>
    <x v="0"/>
  </r>
  <r>
    <n v="13954"/>
    <d v="2022-11-22T00:00:00"/>
    <x v="15"/>
    <x v="15"/>
    <x v="0"/>
    <x v="0"/>
    <s v="GENILSON"/>
    <s v="ROBERT"/>
    <s v=""/>
    <s v=""/>
    <x v="1"/>
    <x v="13"/>
    <s v="MECÂNICO"/>
    <x v="0"/>
    <n v="40"/>
    <n v="0"/>
    <s v="REALIZADO AJUSTE NAS PRESSÕES DO SISTEMA HIDRÁULICO"/>
    <s v="P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s v="MECÂNICO"/>
    <x v="0"/>
    <n v="45"/>
    <n v="0"/>
    <s v="SUBSTITUIÇÃO DA BOMBA DE ISSO"/>
    <s v="P"/>
    <s v="EQUIPAMENTO TRABALHANDO COM CARGA EXCESSIVA "/>
    <s v="INJETORA CANON"/>
    <s v=""/>
    <x v="13"/>
    <x v="0"/>
    <x v="0"/>
  </r>
  <r>
    <n v="13956"/>
    <d v="2022-11-22T00:00:00"/>
    <x v="12"/>
    <x v="0"/>
    <x v="0"/>
    <x v="0"/>
    <s v="SILVIO"/>
    <s v=""/>
    <s v=""/>
    <s v=""/>
    <x v="1"/>
    <x v="18"/>
    <s v="ELÉTRICO"/>
    <x v="0"/>
    <n v="30"/>
    <n v="0"/>
    <s v="AQUECEDOR NÃO ESTA EM AUTOMATICO"/>
    <s v="P"/>
    <s v="EQUIPAMENTO TRABALHANDO COM CARGA EXCESSIVA "/>
    <s v="INJETORA LEV CELL"/>
    <s v=""/>
    <x v="13"/>
    <x v="0"/>
    <x v="0"/>
  </r>
  <r>
    <n v="13957"/>
    <d v="2022-11-22T00:00:00"/>
    <x v="12"/>
    <x v="0"/>
    <x v="0"/>
    <x v="0"/>
    <s v="SILVIO"/>
    <s v=""/>
    <s v=""/>
    <s v=""/>
    <x v="1"/>
    <x v="6"/>
    <s v="ELÉTRICO"/>
    <x v="0"/>
    <n v="25"/>
    <n v="0"/>
    <s v="SENSOR DO QUADRO DE GIRO NÃO ATUANDO"/>
    <s v="C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s v="MECÂNICO"/>
    <x v="0"/>
    <n v="41"/>
    <n v="0"/>
    <s v="RETIRADO O MANÔMETRO E COLOCADO UM TAMPÃO"/>
    <s v="P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s v="MECÂNICO"/>
    <x v="0"/>
    <n v="10"/>
    <n v="0"/>
    <s v="PALIATIVO COM AR PNEUMÁTICO"/>
    <s v="P"/>
    <s v="EQUIPAMENTO TRABALHANDO COM CARGA EXCESSIVA "/>
    <s v="INJETORA INNER DASH"/>
    <s v=""/>
    <x v="13"/>
    <x v="0"/>
    <x v="0"/>
  </r>
  <r>
    <n v="13960"/>
    <d v="2022-11-22T00:00:00"/>
    <x v="13"/>
    <x v="0"/>
    <x v="0"/>
    <x v="0"/>
    <s v="RUIGUENS"/>
    <s v=""/>
    <s v=""/>
    <s v=""/>
    <x v="2"/>
    <x v="6"/>
    <s v="MECÂNICO"/>
    <x v="0"/>
    <n v="20"/>
    <n v="0"/>
    <s v="FEITO TROCA DO SENSOR DO QUADRO DE GIRO"/>
    <s v="P"/>
    <s v="EQUIPAMENTO TRABALHANDO COM CARGA EXCESSIVA "/>
    <s v="PRENSA COM INJEÇÃO PU INNER 03"/>
    <s v=""/>
    <x v="13"/>
    <x v="0"/>
    <x v="0"/>
  </r>
  <r>
    <n v="14025"/>
    <d v="2022-11-22T00:00:00"/>
    <x v="15"/>
    <x v="0"/>
    <x v="0"/>
    <x v="0"/>
    <s v="GENILSON"/>
    <s v=""/>
    <s v=""/>
    <s v=""/>
    <x v="1"/>
    <x v="22"/>
    <s v="MECÂNICO"/>
    <x v="0"/>
    <n v="30"/>
    <n v="0"/>
    <s v="REALIZADO AJUSTE NOS GICLÊS ISO E POLIOL"/>
    <s v="P"/>
    <s v="EQUIPAMENTO TRABALHANDO COM CARGA EXCESSIVA "/>
    <s v="PRENSA COM INJEÇÃO PU 2"/>
    <s v=""/>
    <x v="13"/>
    <x v="0"/>
    <x v="0"/>
  </r>
  <r>
    <n v="14026"/>
    <d v="2022-11-22T00:00:00"/>
    <x v="9"/>
    <x v="6"/>
    <x v="0"/>
    <x v="0"/>
    <s v="ROBERT"/>
    <s v="GENILSON"/>
    <s v=""/>
    <s v=""/>
    <x v="1"/>
    <x v="22"/>
    <s v="MECÂNICO"/>
    <x v="0"/>
    <n v="65"/>
    <n v="0"/>
    <s v="REALIZADO A REGULAGEM DE PRESSÃO DE ISO"/>
    <s v="P"/>
    <s v="EQUIPAMENTO TRABALHANDO COM CARGA EXCESSIVA "/>
    <s v="PRENSA COM INJEÇÃO PU 2"/>
    <s v=""/>
    <x v="13"/>
    <x v="0"/>
    <x v="0"/>
  </r>
  <r>
    <n v="14028"/>
    <d v="2022-11-22T00:00:00"/>
    <x v="11"/>
    <x v="0"/>
    <x v="0"/>
    <x v="0"/>
    <s v="VALDEMAR"/>
    <s v=""/>
    <s v=""/>
    <s v=""/>
    <x v="0"/>
    <x v="16"/>
    <s v="MECÂNICO"/>
    <x v="0"/>
    <n v="15"/>
    <n v="0"/>
    <s v="TROCA DA SAFIRA"/>
    <s v="P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s v="MECÂNICO"/>
    <x v="0"/>
    <n v="35"/>
    <n v="0"/>
    <s v="REPARO DA SERPENTINA"/>
    <s v="P"/>
    <s v="EQUIPAMENTO TRABALHANDO COM CARGA EXCESSIVA "/>
    <s v="CORTE DO CARPETE- WATER JET"/>
    <s v=""/>
    <x v="13"/>
    <x v="0"/>
    <x v="0"/>
  </r>
  <r>
    <n v="15027"/>
    <d v="2022-11-22T00:00:00"/>
    <x v="11"/>
    <x v="0"/>
    <x v="0"/>
    <x v="0"/>
    <s v="VALDEMAR"/>
    <s v=""/>
    <s v=""/>
    <s v=""/>
    <x v="0"/>
    <x v="33"/>
    <s v="MECÂNICO"/>
    <x v="0"/>
    <n v="20"/>
    <n v="0"/>
    <s v="CALIBRAGEM DO ROBÔ 1 E DA MESA; COLODO ROBÔ EM HOME"/>
    <s v="P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s v="ELÉTRICO"/>
    <x v="0"/>
    <n v="15"/>
    <n v="0"/>
    <s v="RESET MA BARREIRA DE LUZ"/>
    <s v="C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s v="MECÂNICO"/>
    <x v="0"/>
    <n v="30"/>
    <n v="0"/>
    <s v="LIMPEZA NOS SENSORES DO SITEMA"/>
    <s v="P"/>
    <s v="EQUIPAMENTO TRABALHANDO COM CARGA EXCESSIVA "/>
    <s v="PRENSA MOLDAGEM 1"/>
    <s v=""/>
    <x v="14"/>
    <x v="0"/>
    <x v="0"/>
  </r>
  <r>
    <n v="12984"/>
    <d v="2022-11-23T00:00:00"/>
    <x v="12"/>
    <x v="0"/>
    <x v="0"/>
    <x v="0"/>
    <s v="SILVIO"/>
    <s v=""/>
    <s v=""/>
    <s v=""/>
    <x v="1"/>
    <x v="11"/>
    <s v="ELÉTRICO"/>
    <x v="0"/>
    <n v="60"/>
    <n v="0"/>
    <s v="MAQUINA M15 LENTA AO DESCER E SE DESLIGAR"/>
    <s v="P"/>
    <s v="EQUIPAMENTO TRABALHANDO COM CARGA EXCESSIVA "/>
    <s v="PRENSA MOLDAGEM 1"/>
    <s v=""/>
    <x v="14"/>
    <x v="0"/>
    <x v="0"/>
  </r>
  <r>
    <n v="13011"/>
    <d v="2022-11-23T00:00:00"/>
    <x v="11"/>
    <x v="11"/>
    <x v="0"/>
    <x v="0"/>
    <s v="VALDEMAR"/>
    <s v="JOSÉ"/>
    <s v=""/>
    <s v=""/>
    <x v="0"/>
    <x v="19"/>
    <s v="MECÂNICO"/>
    <x v="0"/>
    <n v="200"/>
    <n v="0"/>
    <s v="FORAM EXTRAIDOS 3  PARAFUSOS E ABERTO ROSCA EM 4 FARAFUSOS NOVAMENTE E LIBREDADO PARA PRODUÇÃO"/>
    <s v="M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s v="ELÉTRICO"/>
    <x v="0"/>
    <n v="70"/>
    <n v="0"/>
    <s v="AJUSTE NO SENSOR DA MESA 2"/>
    <s v="C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s v="ELÉTRICO"/>
    <x v="0"/>
    <n v="60"/>
    <n v="0"/>
    <s v="TROCA DO RELÉ"/>
    <s v="C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s v="MECÂNICO"/>
    <x v="0"/>
    <n v="12"/>
    <n v="0"/>
    <s v="SUBSTITUIDO PARTE DA MANGUIERA E AS ABRAÇADEIRAS"/>
    <s v="P"/>
    <s v="EQUIPAMENTO TRABALHANDO COM CARGA EXCESSIVA "/>
    <s v="PRENSA ACOPL. TECIDO DO TETO 1"/>
    <s v=""/>
    <x v="14"/>
    <x v="0"/>
    <x v="0"/>
  </r>
  <r>
    <n v="13117"/>
    <d v="2022-11-23T00:00:00"/>
    <x v="9"/>
    <x v="0"/>
    <x v="0"/>
    <x v="0"/>
    <s v="ROBERT"/>
    <s v=""/>
    <s v=""/>
    <s v=""/>
    <x v="1"/>
    <x v="8"/>
    <s v="MECÂNICO"/>
    <x v="0"/>
    <n v="40"/>
    <n v="0"/>
    <s v="REPARO DA SERPENTINA"/>
    <s v="P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s v="MECÂNICO"/>
    <x v="0"/>
    <n v="10"/>
    <n v="0"/>
    <s v="TROCA DA CONEXÃO"/>
    <s v="P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s v="MECÂNICO"/>
    <x v="0"/>
    <n v="30"/>
    <n v="0"/>
    <s v="REPARO DA SERPENTINA"/>
    <s v="P"/>
    <s v="EQUIPAMENTO TRABALHANDO COM CARGA EXCESSIVA "/>
    <s v="CORTE DO TETO  - WATER JET 2"/>
    <s v=""/>
    <x v="14"/>
    <x v="0"/>
    <x v="0"/>
  </r>
  <r>
    <n v="13162"/>
    <d v="2022-11-23T00:00:00"/>
    <x v="10"/>
    <x v="0"/>
    <x v="0"/>
    <x v="0"/>
    <s v="JOSÉ"/>
    <s v=""/>
    <s v=""/>
    <s v=""/>
    <x v="0"/>
    <x v="16"/>
    <s v="ELÉTRICO"/>
    <x v="0"/>
    <n v="3"/>
    <n v="0"/>
    <s v="RESET"/>
    <s v="C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s v="ELÉTRICO"/>
    <x v="0"/>
    <n v="25"/>
    <n v="0"/>
    <s v="AJUSTE NA MESA"/>
    <s v="C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s v="ELÉTRICO"/>
    <x v="0"/>
    <n v="22"/>
    <n v="0"/>
    <s v="AJUSTUDADO CABO E SENSOR PT-100"/>
    <s v="C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s v="ELÉTRICO"/>
    <x v="0"/>
    <n v="15"/>
    <n v="0"/>
    <s v="SENSOR DE BLOQUEIO DA MAGAZINE NÃO ATUA"/>
    <s v="P"/>
    <s v="EQUIPAMENTO TRABALHANDO COM CARGA EXCESSIVA "/>
    <s v="PRENSA MOLDAGEM INNER DASH"/>
    <s v=""/>
    <x v="14"/>
    <x v="0"/>
    <x v="0"/>
  </r>
  <r>
    <n v="15023"/>
    <d v="2022-11-23T00:00:00"/>
    <x v="15"/>
    <x v="0"/>
    <x v="0"/>
    <x v="0"/>
    <s v="GENILSON"/>
    <s v=""/>
    <s v=""/>
    <s v=""/>
    <x v="1"/>
    <x v="16"/>
    <s v="MECÂNICO"/>
    <x v="0"/>
    <n v="20"/>
    <n v="0"/>
    <s v="TROCA DA SAFIRA"/>
    <s v="P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s v="MECÂNICO"/>
    <x v="0"/>
    <n v="17"/>
    <n v="0"/>
    <s v="TROCA DA CONEXÃO E AJUSTE NOS SENSORES"/>
    <s v="P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s v="MECÂNICO"/>
    <x v="0"/>
    <n v="30"/>
    <n v="0"/>
    <s v="TROCA DA MANGUEIRA E CONEXÃO"/>
    <s v="P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s v="MECÂNICO"/>
    <x v="0"/>
    <n v="50"/>
    <n v="0"/>
    <s v="LIMPEZA DA BOMBA DE RESINA"/>
    <s v="P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s v="MECÂNICO"/>
    <x v="0"/>
    <n v="19"/>
    <n v="0"/>
    <s v="TROCA DO REPARO"/>
    <s v="P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s v="MECÂNICO"/>
    <x v="0"/>
    <n v="30"/>
    <n v="0"/>
    <s v="TROCA DA SAFIRA"/>
    <s v="P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s v="MECÂNICO"/>
    <x v="0"/>
    <n v="60"/>
    <n v="0"/>
    <s v="REAPERO E LIMPEZA NA MANGUEIRA"/>
    <s v="P"/>
    <s v="EQUIPAMENTO TRABALHANDO COM CARGA EXCESSIVA "/>
    <s v=""/>
    <s v=""/>
    <x v="15"/>
    <x v="0"/>
    <x v="0"/>
  </r>
  <r>
    <n v="13170"/>
    <d v="2022-11-24T00:00:00"/>
    <x v="13"/>
    <x v="0"/>
    <x v="0"/>
    <x v="0"/>
    <s v="RUIGUENS"/>
    <s v=""/>
    <s v=""/>
    <s v=""/>
    <x v="2"/>
    <x v="7"/>
    <s v="MECÂNICO"/>
    <x v="0"/>
    <n v="143"/>
    <n v="0"/>
    <s v="TROCA DO CILINDRO DO PRENSA FILME"/>
    <s v="P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s v="ELÉTRICO"/>
    <x v="0"/>
    <n v="10"/>
    <n v="0"/>
    <s v="AJUSTE DA MESA E NO SENSOR"/>
    <s v="C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s v="MECÂNICO"/>
    <x v="0"/>
    <n v="12"/>
    <n v="0"/>
    <s v="FEITO SOLDA NO SUPORTE BAYPRESS"/>
    <s v="P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s v="ELÉTRICO"/>
    <x v="0"/>
    <n v="35"/>
    <n v="0"/>
    <s v="ALINHAMENTO DA BARREIRA DE LUZ"/>
    <s v="C"/>
    <s v="FALHA EM COMPONENTES ELETRONICO"/>
    <s v="PRENSA COM INJEÇÃO PU INNER 03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m/>
    <s v="P"/>
    <s v="EQUIPAMENTO TRABALHANDO COM CARGA EXCESSIVA "/>
    <s v=""/>
    <s v=""/>
    <x v="15"/>
    <x v="0"/>
    <x v="0"/>
  </r>
  <r>
    <n v="13965"/>
    <d v="2022-11-24T00:00:00"/>
    <x v="13"/>
    <x v="1"/>
    <x v="0"/>
    <x v="0"/>
    <s v="RUIGUENS"/>
    <s v="ANDERSON"/>
    <s v=""/>
    <s v=""/>
    <x v="2"/>
    <x v="42"/>
    <s v="MECÂNICO"/>
    <x v="0"/>
    <n v="23"/>
    <n v="0"/>
    <s v="MANGUEIRA ROMPIDA"/>
    <s v="P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s v="MECÂNICO"/>
    <x v="0"/>
    <n v="60"/>
    <n v="0"/>
    <s v="NÍVEL DE ÓLEO COMPLETADO E TROCA DO REPARO DA VÁLVULA"/>
    <s v="P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s v="ELÉTRICO"/>
    <x v="0"/>
    <n v="20"/>
    <n v="0"/>
    <s v="LIMPEZA E ACOMPLANHMNETO"/>
    <s v="P"/>
    <s v="EQUIPAMENTO TRABALHANDO COM CARGA EXCESSIVA "/>
    <s v="TERMOFORMAGEM GLASUTEC"/>
    <s v=""/>
    <x v="16"/>
    <x v="0"/>
    <x v="0"/>
  </r>
  <r>
    <n v="13016"/>
    <d v="2022-11-25T00:00:00"/>
    <x v="12"/>
    <x v="0"/>
    <x v="0"/>
    <x v="0"/>
    <s v="SILVIO"/>
    <s v=""/>
    <s v=""/>
    <s v=""/>
    <x v="1"/>
    <x v="1"/>
    <s v="ELÉTRICO"/>
    <x v="0"/>
    <n v="40"/>
    <n v="0"/>
    <s v="FIXADO E AJUSTADO SENSOR DA MESA"/>
    <s v="C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s v="ELÉTRICO"/>
    <x v="0"/>
    <n v="40"/>
    <n v="0"/>
    <s v="AJUSTE NO SENSOR"/>
    <s v="C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s v="MECÂNICO"/>
    <x v="0"/>
    <n v="15"/>
    <n v="0"/>
    <s v="SUBSTITUIÇÃO DO ORING E DO MÓDULO"/>
    <s v="P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s v="MECÂNICO"/>
    <x v="0"/>
    <n v="27"/>
    <n v="0"/>
    <s v="TROCA DO REPARO"/>
    <s v="P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s v="ELÉTRICO"/>
    <x v="0"/>
    <n v="30"/>
    <n v="0"/>
    <s v="FEITO LIMPEZA"/>
    <s v="P"/>
    <s v="EQUIPAMENTO TRABALHANDO COM CARGA EXCESSIVA "/>
    <s v=""/>
    <s v=""/>
    <x v="16"/>
    <x v="0"/>
    <x v="0"/>
  </r>
  <r>
    <n v="13176"/>
    <d v="2022-11-25T00:00:00"/>
    <x v="15"/>
    <x v="0"/>
    <x v="0"/>
    <x v="0"/>
    <s v="GENILSON"/>
    <s v=""/>
    <s v=""/>
    <s v=""/>
    <x v="1"/>
    <x v="33"/>
    <s v="ELÉTRICO"/>
    <x v="0"/>
    <n v="50"/>
    <n v="0"/>
    <s v=" AJUSTE NO CORTE DO CARPETE"/>
    <s v="C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s v="MECÂNICO"/>
    <x v="0"/>
    <n v="2"/>
    <n v="0"/>
    <s v="VERIFICAÇÃO DE DEFEITO NA HIDRÁILICA"/>
    <s v="P"/>
    <s v="EQUIPAMENTO TRABALHANDO COM CARGA EXCESSIVA "/>
    <s v="PRENSA COM INJEÇÃO PU 1"/>
    <s v=""/>
    <x v="16"/>
    <x v="0"/>
    <x v="0"/>
  </r>
  <r>
    <n v="13178"/>
    <d v="2022-11-25T00:00:00"/>
    <x v="9"/>
    <x v="0"/>
    <x v="0"/>
    <x v="0"/>
    <s v="ROBERT"/>
    <s v=""/>
    <s v=""/>
    <s v=""/>
    <x v="1"/>
    <x v="9"/>
    <s v="MECÂNICO"/>
    <x v="0"/>
    <n v="40"/>
    <n v="0"/>
    <s v="MANGUEIRA DE SUCÇÃO DA BOMBA ESTAVA OBSTRUÍDA. FOI REALIZADO A TROCA DA MESMA"/>
    <s v="P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s v="MECÂNICO"/>
    <x v="0"/>
    <n v="30"/>
    <n v="0"/>
    <s v="TROCA DO ENGATE RÁPIDO"/>
    <s v="P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s v="ELÉTRICO"/>
    <x v="0"/>
    <n v="100"/>
    <n v="0"/>
    <s v="SENSOR FORA DE POSIÇÃO E CILINDRO DANIFICADO"/>
    <s v="C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s v="MECÂNICO"/>
    <x v="0"/>
    <n v="35"/>
    <n v="0"/>
    <s v="RETIRADO O VAZAMENTO"/>
    <s v="P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s v="MECÂNICO"/>
    <x v="0"/>
    <n v="20"/>
    <n v="0"/>
    <s v="ALINHAMENTO DO MAGAZINE"/>
    <s v="P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s v="MECÂNICO"/>
    <x v="0"/>
    <n v="39"/>
    <n v="0"/>
    <s v="TROCA DA LÂMINA"/>
    <s v="P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s v="MECÂNICO"/>
    <x v="0"/>
    <n v="8"/>
    <n v="0"/>
    <s v="RETIRADO PARTE DA NIFICA DA MANGUEIRA"/>
    <s v="P"/>
    <s v="EQUIPAMENTO TRABALHANDO COM CARGA EXCESSIVA "/>
    <s v="INJETORA"/>
    <s v=""/>
    <x v="16"/>
    <x v="0"/>
    <x v="0"/>
  </r>
  <r>
    <n v="13989"/>
    <d v="2022-11-25T00:00:00"/>
    <x v="11"/>
    <x v="10"/>
    <x v="0"/>
    <x v="0"/>
    <s v="VALDEMAR"/>
    <s v="EDUARDO"/>
    <s v=""/>
    <s v=""/>
    <x v="0"/>
    <x v="31"/>
    <s v="MECÂNICO"/>
    <x v="0"/>
    <n v="15"/>
    <n v="0"/>
    <s v="RETIRADO ENTRADA DE AR"/>
    <s v="P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s v="MECÂNICO"/>
    <x v="0"/>
    <n v="40"/>
    <n v="0"/>
    <s v="TROCA DO ANEL DE VEDAÇÃO DO AVANÇO DO CILINDRO"/>
    <s v="P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s v="MECÂNICO"/>
    <x v="0"/>
    <n v="60"/>
    <n v="0"/>
    <s v="SUBSTITUIÇÃO DA SERPENTINA"/>
    <s v="P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s v="ELÉTRICO"/>
    <x v="0"/>
    <n v="15"/>
    <n v="0"/>
    <s v="LIMPEZA DOS VENTILADORES DO INVERSOR DE FREQUÊNCIA"/>
    <s v="C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s v="ELÉTRICO"/>
    <x v="0"/>
    <n v="25"/>
    <n v="0"/>
    <s v="GATILHO DA PISTOLA TRAVADO"/>
    <s v="P"/>
    <s v="EQUIPAMENTO TRABALHANDO COM CARGA EXCESSIVA "/>
    <s v=""/>
    <s v=""/>
    <x v="17"/>
    <x v="0"/>
    <x v="0"/>
  </r>
  <r>
    <n v="13181"/>
    <d v="2022-11-26T00:00:00"/>
    <x v="10"/>
    <x v="0"/>
    <x v="0"/>
    <x v="0"/>
    <s v="JOSÉ"/>
    <s v=""/>
    <s v=""/>
    <s v=""/>
    <x v="0"/>
    <x v="31"/>
    <s v="ELÉTRICO"/>
    <x v="0"/>
    <n v="5"/>
    <n v="0"/>
    <s v="RESET DO RELÉ DE EMERGÊNCIA"/>
    <s v="C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s v="MECÂNICO"/>
    <x v="0"/>
    <n v="80"/>
    <n v="0"/>
    <s v="RETIRADO GUIA SUPERIOR E REPARA EM DOIS EMPURRADORES"/>
    <s v="P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s v="ELÉTRICO"/>
    <x v="0"/>
    <n v="20"/>
    <n v="0"/>
    <s v="ALINHAMENTO DA BARREIRA DE LUZ"/>
    <s v="C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s v="ELÉTRICO"/>
    <x v="0"/>
    <n v="12"/>
    <n v="0"/>
    <s v="TROCA DO SENSOR"/>
    <s v="C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s v="MECÂNICO"/>
    <x v="0"/>
    <n v="25"/>
    <n v="0"/>
    <s v="RETIRADO O VAZAMENTO"/>
    <s v="P"/>
    <s v="EQUIPAMENTO TRABALHANDO COM CARGA EXCESSIVA "/>
    <s v="PRENSA COM INJEÇÃO PU INNER 03"/>
    <s v=""/>
    <x v="18"/>
    <x v="0"/>
    <x v="0"/>
  </r>
  <r>
    <n v="13020"/>
    <d v="2022-11-27T00:00:00"/>
    <x v="14"/>
    <x v="0"/>
    <x v="0"/>
    <x v="0"/>
    <s v="EDUARDO"/>
    <s v=""/>
    <s v=""/>
    <s v=""/>
    <x v="0"/>
    <x v="1"/>
    <s v="MECÂNICO"/>
    <x v="0"/>
    <n v="60"/>
    <n v="0"/>
    <s v="LIBERADO ROBÔ DE COLA"/>
    <s v="P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s v="MECÂNICO"/>
    <x v="0"/>
    <n v="10"/>
    <n v="0"/>
    <s v="TROCA DAS DUAS SAFIRAS"/>
    <s v="P"/>
    <s v="EQUIPAMENTO TRABALHANDO COM CARGA EXCESSIVA "/>
    <s v="CORTE DO TETO  - WATER JET 2"/>
    <s v=""/>
    <x v="18"/>
    <x v="0"/>
    <x v="0"/>
  </r>
  <r>
    <n v="13975"/>
    <d v="2022-11-27T00:00:00"/>
    <x v="11"/>
    <x v="0"/>
    <x v="0"/>
    <x v="0"/>
    <s v="VALDEMAR"/>
    <s v=""/>
    <s v=""/>
    <s v=""/>
    <x v="0"/>
    <x v="28"/>
    <s v="MECÂNICO"/>
    <x v="0"/>
    <n v="25"/>
    <n v="0"/>
    <s v="AJUSTE DA GARRA"/>
    <s v="P"/>
    <s v="EQUIPAMENTO TRABALHANDO COM CARGA EXCESSIVA "/>
    <s v="PRENSA MOLDAGEM INNER DASH"/>
    <s v=""/>
    <x v="18"/>
    <x v="0"/>
    <x v="0"/>
  </r>
  <r>
    <n v="15006"/>
    <d v="2022-11-27T00:00:00"/>
    <x v="11"/>
    <x v="0"/>
    <x v="0"/>
    <x v="0"/>
    <s v="VALDEMAR"/>
    <s v=""/>
    <s v=""/>
    <s v=""/>
    <x v="0"/>
    <x v="16"/>
    <s v="ELÉTRICO"/>
    <x v="0"/>
    <n v="25"/>
    <n v="0"/>
    <s v="COLOCADO ROBÔ 2 EM HOME E RESETADO O ROBÔ"/>
    <s v="P"/>
    <s v="EQUIPAMENTO TRABALHANDO COM CARGA EXCESSIVA "/>
    <s v="CORTE DO CARPETE- WATER JET"/>
    <s v=""/>
    <x v="18"/>
    <x v="0"/>
    <x v="0"/>
  </r>
  <r>
    <n v="15021"/>
    <d v="2022-11-27T00:00:00"/>
    <x v="11"/>
    <x v="0"/>
    <x v="0"/>
    <x v="0"/>
    <s v="VALDEMAR"/>
    <s v=""/>
    <s v=""/>
    <s v=""/>
    <x v="0"/>
    <x v="16"/>
    <s v="MECÂNICO"/>
    <x v="0"/>
    <n v="15"/>
    <n v="0"/>
    <s v="COLOCADO ROBÔ 2 EM HOME"/>
    <s v="P"/>
    <s v="EQUIPAMENTO TRABALHANDO COM CARGA EXCESSIVA "/>
    <s v="CORTE DO CARPETE- WATER JET"/>
    <s v=""/>
    <x v="18"/>
    <x v="0"/>
    <x v="0"/>
  </r>
  <r>
    <n v="15022"/>
    <d v="2022-11-27T00:00:00"/>
    <x v="10"/>
    <x v="0"/>
    <x v="0"/>
    <x v="0"/>
    <s v="JOSÉ"/>
    <s v=""/>
    <s v=""/>
    <s v=""/>
    <x v="0"/>
    <x v="31"/>
    <s v="ELÉTRICO"/>
    <x v="0"/>
    <n v="25"/>
    <n v="0"/>
    <s v="RESET"/>
    <s v="C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s v="ELÉTRICO"/>
    <x v="0"/>
    <n v="60"/>
    <n v="0"/>
    <s v="REALIZAR INSTALAÇÃO DOS COPOS DO FILTRO INFRA PARA PULVERIZADORES PARTE ELETRICA"/>
    <s v="P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s v="ELÉTRICO"/>
    <x v="0"/>
    <n v="2"/>
    <n v="0"/>
    <s v="RESET DO INVERSOR DE FREQUÊNCIA"/>
    <s v="C"/>
    <s v="FALHA EM COMPONENTES ELETRONICO"/>
    <s v="TERMOFORMAGEM GLASUTEC"/>
    <s v=""/>
    <x v="19"/>
    <x v="0"/>
    <x v="0"/>
  </r>
  <r>
    <n v="12683"/>
    <d v="2022-11-28T00:00:00"/>
    <x v="9"/>
    <x v="0"/>
    <x v="0"/>
    <x v="0"/>
    <s v="ROBERT"/>
    <s v=""/>
    <s v=""/>
    <s v=""/>
    <x v="1"/>
    <x v="32"/>
    <s v="MECÂNICO"/>
    <x v="0"/>
    <n v="20"/>
    <n v="0"/>
    <s v="FOI CORTADA A MANGUEIRA E RECOLOCADA"/>
    <s v="P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s v="MECÂNICO"/>
    <x v="0"/>
    <n v="24"/>
    <n v="0"/>
    <s v="LIMPEZA NA VÁLVULA B2 E MIX"/>
    <s v="P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s v="MECÂNICO"/>
    <x v="0"/>
    <n v="5"/>
    <n v="0"/>
    <s v="RETIRADA PARTE DANIFICADA DA MANGUEIRA"/>
    <s v="P"/>
    <s v="EQUIPAMENTO TRABALHANDO COM CARGA EXCESSIVA "/>
    <s v="PRENSA ACOPL. TECIDO DO TETO 1"/>
    <s v=""/>
    <x v="19"/>
    <x v="0"/>
    <x v="0"/>
  </r>
  <r>
    <n v="13055"/>
    <d v="2022-11-28T00:00:00"/>
    <x v="10"/>
    <x v="0"/>
    <x v="0"/>
    <x v="0"/>
    <s v="JOSÉ"/>
    <s v=""/>
    <s v=""/>
    <s v=""/>
    <x v="0"/>
    <x v="47"/>
    <s v="ELÉTRICO"/>
    <x v="0"/>
    <n v="15"/>
    <n v="0"/>
    <s v="RESET DO AQUECEDOR"/>
    <s v="C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s v="MECÂNICO"/>
    <x v="0"/>
    <n v="35"/>
    <n v="0"/>
    <s v="NÍVEL DE ÓLEO COMPLETADO"/>
    <s v="P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s v="MECÂNICO"/>
    <x v="0"/>
    <n v="13"/>
    <n v="0"/>
    <s v="DESOBSTRUÇÃO DA PISTOLA DE COLA"/>
    <s v="P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s v="MECÂNICO"/>
    <x v="0"/>
    <n v="30"/>
    <n v="0"/>
    <s v="FEITO LIMPEZA NAS COOLERS DOS INVERSORES"/>
    <s v="P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s v="MECÂNICO"/>
    <x v="0"/>
    <n v="10"/>
    <n v="0"/>
    <s v="LIMPEZA DO BLOCO"/>
    <s v="P"/>
    <s v="EQUIPAMENTO TRABALHANDO COM CARGA EXCESSIVA "/>
    <s v=""/>
    <s v=""/>
    <x v="19"/>
    <x v="0"/>
    <x v="0"/>
  </r>
  <r>
    <n v="13182"/>
    <d v="2022-11-28T00:00:00"/>
    <x v="10"/>
    <x v="0"/>
    <x v="0"/>
    <x v="0"/>
    <s v="JOSÉ"/>
    <s v=""/>
    <s v=""/>
    <s v=""/>
    <x v="0"/>
    <x v="14"/>
    <s v="ELÉTRICO"/>
    <x v="0"/>
    <n v="4"/>
    <n v="0"/>
    <s v="REFERENCIAMENTO DAS MESAS"/>
    <s v="C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s v="MECÂNICO"/>
    <x v="0"/>
    <n v="25"/>
    <n v="0"/>
    <s v="REAPERTO DA CONEXÃO DO BLOCO DA TUBULAÇÃO"/>
    <s v="P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s v="MECÂNICO"/>
    <x v="0"/>
    <n v="37"/>
    <n v="0"/>
    <s v="DEMORA NO FECHAMENTO DO FENDER"/>
    <s v="P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s v="MECÂNICO"/>
    <x v="0"/>
    <n v="30"/>
    <n v="0"/>
    <s v="TROCA DO REPARO DO ROBÔ E FIXADO A SERPENTINA"/>
    <s v="P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s v="ELÉTRICO"/>
    <x v="0"/>
    <n v="8"/>
    <n v="0"/>
    <s v="ALINHAMENTO DA BARREIRA DE LUZ"/>
    <s v="C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s v="MECÂNICO"/>
    <x v="0"/>
    <n v="25"/>
    <n v="0"/>
    <s v="TROCA DA MANGUEIRA"/>
    <s v="P"/>
    <s v="EQUIPAMENTO TRABALHANDO COM CARGA EXCESSIVA "/>
    <s v="PRENSA ACOPL. TECIDO DO TETO 1"/>
    <s v=""/>
    <x v="20"/>
    <x v="0"/>
    <x v="0"/>
  </r>
  <r>
    <n v="12921"/>
    <d v="2022-11-29T00:00:00"/>
    <x v="12"/>
    <x v="0"/>
    <x v="0"/>
    <x v="0"/>
    <s v="SILVIO"/>
    <s v=""/>
    <s v=""/>
    <s v=""/>
    <x v="1"/>
    <x v="47"/>
    <s v="MECÂNICO"/>
    <x v="0"/>
    <n v="90"/>
    <n v="0"/>
    <s v="TROCA DOS ROLAMENTOS"/>
    <s v="P"/>
    <s v="EQUIPAMENTO TRABALHANDO COM CARGA EXCESSIVA "/>
    <s v=""/>
    <s v=""/>
    <x v="20"/>
    <x v="0"/>
    <x v="0"/>
  </r>
  <r>
    <n v="13112"/>
    <d v="2022-11-29T00:00:00"/>
    <x v="13"/>
    <x v="3"/>
    <x v="3"/>
    <x v="0"/>
    <s v="RUIGUENS"/>
    <s v=""/>
    <s v="RONALDO"/>
    <s v=""/>
    <x v="2"/>
    <x v="17"/>
    <s v="ELÉTRICO"/>
    <x v="0"/>
    <n v="5"/>
    <n v="0"/>
    <s v="RESET"/>
    <s v="C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s v="MECÂNICO"/>
    <x v="0"/>
    <n v="23"/>
    <n v="0"/>
    <s v="RETIRADO O VAZAMENTO"/>
    <s v="P"/>
    <s v="EQUIPAMENTO TRABALHANDO COM CARGA EXCESSIVA "/>
    <s v="VIROLA DO TETO 521"/>
    <s v=""/>
    <x v="20"/>
    <x v="0"/>
    <x v="0"/>
  </r>
  <r>
    <n v="13134"/>
    <d v="2022-11-29T00:00:00"/>
    <x v="9"/>
    <x v="0"/>
    <x v="0"/>
    <x v="0"/>
    <s v="ROBERT"/>
    <s v=""/>
    <s v=""/>
    <s v=""/>
    <x v="1"/>
    <x v="36"/>
    <s v="MECÂNICO"/>
    <x v="0"/>
    <n v="12"/>
    <n v="0"/>
    <s v="TROCA DA CONEXÃO"/>
    <s v="P"/>
    <s v="EQUIPAMENTO TRABALHANDO COM CARGA EXCESSIVA "/>
    <s v=""/>
    <s v=""/>
    <x v="20"/>
    <x v="0"/>
    <x v="0"/>
  </r>
  <r>
    <n v="13184"/>
    <d v="2022-11-29T00:00:00"/>
    <x v="15"/>
    <x v="0"/>
    <x v="0"/>
    <x v="0"/>
    <s v="GENILSON"/>
    <s v=""/>
    <s v=""/>
    <s v=""/>
    <x v="1"/>
    <x v="40"/>
    <s v="ELÉTRICO"/>
    <x v="0"/>
    <n v="40"/>
    <n v="0"/>
    <s v="SUBSTITUIÇÃO DA CHAVE SECSIONADORA"/>
    <s v="O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s v="MECÂNICO"/>
    <x v="0"/>
    <n v="170"/>
    <n v="0"/>
    <s v="TROCA DO PARAFUSO"/>
    <s v="P"/>
    <s v="EQUIPAMENTO TRABALHANDO COM CARGA EXCESSIVA "/>
    <s v="PRENSA MOLDAGEM INNER DASH"/>
    <s v=""/>
    <x v="20"/>
    <x v="0"/>
    <x v="0"/>
  </r>
  <r>
    <n v="13981"/>
    <d v="2022-11-29T00:00:00"/>
    <x v="11"/>
    <x v="10"/>
    <x v="0"/>
    <x v="0"/>
    <s v="VALDEMAR"/>
    <s v="EDUARDO"/>
    <s v=""/>
    <s v=""/>
    <x v="0"/>
    <x v="3"/>
    <s v="MECÂNICO"/>
    <x v="0"/>
    <n v="2"/>
    <n v="0"/>
    <s v="AJUSTE DO SENSOR"/>
    <s v="P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s v="MECÂNICO"/>
    <x v="0"/>
    <n v="30"/>
    <n v="0"/>
    <s v="TROCA DO ENGATE RÁPIDO"/>
    <s v="P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s v="MECÂNICO"/>
    <x v="0"/>
    <n v="187"/>
    <n v="0"/>
    <s v="TROCA DO MOTOR BOMBA; TROCA DAS CONEXÕES E TESTES"/>
    <s v="P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s v="MECÂNICO"/>
    <x v="0"/>
    <n v="15"/>
    <n v="0"/>
    <s v="TROCA DA ANILHA"/>
    <s v="P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s v="MECÂNICO"/>
    <x v="0"/>
    <n v="140"/>
    <n v="0"/>
    <s v="APERTO DA PORCA DO BLOCO"/>
    <s v="P"/>
    <s v="EQUIPAMENTO TRABALHANDO COM CARGA EXCESSIVA "/>
    <s v=""/>
    <s v=""/>
    <x v="20"/>
    <x v="0"/>
    <x v="0"/>
  </r>
  <r>
    <n v="15019"/>
    <d v="2022-11-29T00:00:00"/>
    <x v="15"/>
    <x v="0"/>
    <x v="0"/>
    <x v="0"/>
    <s v="GENILSON"/>
    <s v=""/>
    <s v=""/>
    <s v=""/>
    <x v="1"/>
    <x v="31"/>
    <s v="ELÉTRICO"/>
    <x v="0"/>
    <n v="20"/>
    <n v="0"/>
    <s v="RESET NA FALHA DO INVERSOR"/>
    <s v="C"/>
    <s v="FALHA EM COMPONENTES ELETRONICO"/>
    <s v="INJETORA CARPETE"/>
    <s v=""/>
    <x v="20"/>
    <x v="0"/>
    <x v="0"/>
  </r>
  <r>
    <n v="12199"/>
    <d v="2022-11-30T00:00:00"/>
    <x v="16"/>
    <x v="2"/>
    <x v="0"/>
    <x v="0"/>
    <s v=""/>
    <s v="JOSINALDO"/>
    <s v=""/>
    <s v=""/>
    <x v="2"/>
    <x v="11"/>
    <s v="MECÂNICO"/>
    <x v="0"/>
    <n v="55"/>
    <n v="0"/>
    <s v="MANGUEIRA DE AR DA BOMBA DE DESMOLDANTE FURADA SEM PRESSÃO BOMBA"/>
    <s v="P"/>
    <s v="EQUIPAMENTO TRABALHANDO COM CARGA EXCESSIVA "/>
    <s v="PRENSA MOLDAGEM 1"/>
    <s v=""/>
    <x v="21"/>
    <x v="0"/>
    <x v="0"/>
  </r>
  <r>
    <n v="12665"/>
    <d v="2022-11-30T00:00:00"/>
    <x v="11"/>
    <x v="0"/>
    <x v="0"/>
    <x v="0"/>
    <s v="VALDEMAR"/>
    <s v=""/>
    <s v=""/>
    <s v=""/>
    <x v="0"/>
    <x v="1"/>
    <s v="MECÂNICO"/>
    <x v="0"/>
    <n v="7"/>
    <n v="0"/>
    <s v="TROCA DA CONEXÃO PNEUMÁTICA"/>
    <s v="P"/>
    <s v="EQUIPAMENTO TRABALHANDO COM CARGA EXCESSIVA "/>
    <s v="ROBÔ ABB APLIC. COLA DO TETO"/>
    <s v=""/>
    <x v="21"/>
    <x v="0"/>
    <x v="0"/>
  </r>
  <r>
    <n v="12923"/>
    <d v="2022-11-30T00:00:00"/>
    <x v="12"/>
    <x v="0"/>
    <x v="0"/>
    <x v="0"/>
    <s v="SILVIO"/>
    <s v=""/>
    <s v=""/>
    <s v=""/>
    <x v="1"/>
    <x v="50"/>
    <s v="ELÉTRICO"/>
    <x v="0"/>
    <n v="40"/>
    <n v="0"/>
    <s v="VERIFICAR AVANÇO DA ENFARDADEIRA"/>
    <s v="C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s v="MECÂNICO"/>
    <x v="0"/>
    <n v="60"/>
    <n v="0"/>
    <s v="MANTAGEM DO CABEÇOTE M10"/>
    <s v="P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s v="MECÂNICO"/>
    <x v="0"/>
    <n v="7"/>
    <n v="0"/>
    <s v="PARAFUSADEIRA DA MONTAGEM 226 NÃO ESTA PARAFUSANDO"/>
    <s v="P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s v="MECÂNICO"/>
    <x v="0"/>
    <n v="13"/>
    <n v="0"/>
    <s v="VIROLA TRAVADA"/>
    <s v="P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s v="ELÉTRICO"/>
    <x v="0"/>
    <n v="14"/>
    <n v="0"/>
    <s v="FALHA NA BARREIRA DE LUZ"/>
    <s v="P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s v="ELÉTRICO"/>
    <x v="0"/>
    <n v="17"/>
    <n v="0"/>
    <s v="TEMPERATURA DO COLEIRO 521 OSCILANDO"/>
    <s v="P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s v="MECÂNICO"/>
    <x v="0"/>
    <n v="7"/>
    <n v="0"/>
    <s v="VAZAMENTO DE AR NA PISTOLA DE COLA DA VIROLA DO 551"/>
    <s v="P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s v="ELÉTRICO"/>
    <x v="0"/>
    <n v="10"/>
    <n v="0"/>
    <s v="VIROLA DO 521 TRAVADA"/>
    <s v="P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s v="MECÂNICO"/>
    <x v="0"/>
    <n v="15"/>
    <n v="0"/>
    <s v="BAIXA VAZÃO DE COLA NA PISTOLA DA MONTAGEM DE TETO 226"/>
    <s v="P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s v="MECÂNICO"/>
    <x v="0"/>
    <n v="7"/>
    <n v="0"/>
    <s v="SAFIRA ESTOURADA ROBO 2"/>
    <s v="P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s v="MECÂNICO"/>
    <x v="0"/>
    <n v="15"/>
    <n v="0"/>
    <s v="REGULAGEM DO DESMOLDANTE"/>
    <s v="P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s v="ELÉTRICO"/>
    <x v="0"/>
    <n v="25"/>
    <n v="0"/>
    <s v="BARREIRA DE 521 DESLIGANDO"/>
    <s v="P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s v="ELÉTRICO"/>
    <x v="0"/>
    <n v="15"/>
    <n v="0"/>
    <s v="AUMENTO 1 SEGUNDO DO TEMPO DO DESMOLDANTE"/>
    <s v="P"/>
    <s v="EQUIPAMENTO TRABALHANDO COM CARGA EXCESSIVA "/>
    <s v="PRENSA COM INJEÇÃO PU INNER 02"/>
    <s v=""/>
    <x v="21"/>
    <x v="0"/>
    <x v="0"/>
  </r>
  <r>
    <n v="15014"/>
    <d v="2022-11-30T00:00:00"/>
    <x v="11"/>
    <x v="10"/>
    <x v="0"/>
    <x v="0"/>
    <s v="VALDEMAR"/>
    <s v="EDUARDO"/>
    <s v=""/>
    <s v=""/>
    <x v="0"/>
    <x v="31"/>
    <s v="MECÂNICO"/>
    <x v="0"/>
    <n v="20"/>
    <n v="0"/>
    <s v="ABASTECIDO O TANQUE COM 40L DE ÓLEO 68"/>
    <s v="P"/>
    <s v="EQUIPAMENTO TRABALHANDO COM CARGA EXCESSIVA "/>
    <s v="INJETORA CARPETE"/>
    <s v=""/>
    <x v="21"/>
    <x v="0"/>
    <x v="0"/>
  </r>
  <r>
    <n v="15015"/>
    <d v="2022-11-30T00:00:00"/>
    <x v="11"/>
    <x v="11"/>
    <x v="0"/>
    <x v="0"/>
    <s v="VALDEMAR"/>
    <s v="JOSÉ"/>
    <s v=""/>
    <s v=""/>
    <x v="0"/>
    <x v="16"/>
    <s v="MECÂNICO"/>
    <x v="0"/>
    <n v="16"/>
    <n v="0"/>
    <s v="RESETADO O ROBÔ PARA RETIRAR A FALHA"/>
    <s v="P"/>
    <s v="EQUIPAMENTO TRABALHANDO COM CARGA EXCESSIVA "/>
    <s v="CORTE DO CARPETE- WATER JET"/>
    <s v=""/>
    <x v="21"/>
    <x v="0"/>
    <x v="0"/>
  </r>
  <r>
    <n v="15016"/>
    <d v="2022-11-30T00:00:00"/>
    <x v="10"/>
    <x v="0"/>
    <x v="0"/>
    <x v="0"/>
    <s v="JOSÉ"/>
    <s v=""/>
    <s v=""/>
    <s v=""/>
    <x v="0"/>
    <x v="20"/>
    <s v="ELÉTRICO"/>
    <x v="0"/>
    <n v="5"/>
    <n v="0"/>
    <s v="LIMPEZA DO SCANER"/>
    <s v="C"/>
    <s v="FALHA EM COMPONENTES ELETRONICO"/>
    <s v="PRENSA COM INJEÇÃO PU 1"/>
    <s v=""/>
    <x v="21"/>
    <x v="0"/>
    <x v="0"/>
  </r>
  <r>
    <n v="1245"/>
    <d v="2023-01-16T00:00:00"/>
    <x v="2"/>
    <x v="15"/>
    <x v="0"/>
    <x v="0"/>
    <s v="FELIPE"/>
    <s v="ROBERT"/>
    <s v=""/>
    <s v=""/>
    <x v="1"/>
    <x v="7"/>
    <s v="MECÂNICA"/>
    <x v="1"/>
    <n v="0"/>
    <n v="15"/>
    <s v="SETUP"/>
    <s v="G"/>
    <s v="FALTA DE CONHECIMENTO DO OPERADOR"/>
    <s v="PRENSA DE MOLDAGEM CARPETE"/>
    <s v=""/>
    <x v="22"/>
    <x v="1"/>
    <x v="1"/>
  </r>
  <r>
    <s v="S1007"/>
    <d v="2023-02-01T00:00:00"/>
    <x v="9"/>
    <x v="12"/>
    <x v="0"/>
    <x v="0"/>
    <s v="ROBERT"/>
    <s v="FELIPE"/>
    <s v=""/>
    <s v=""/>
    <x v="1"/>
    <x v="16"/>
    <s v="MECÂNICA"/>
    <x v="1"/>
    <n v="0"/>
    <n v="30"/>
    <s v="TSETSETSET"/>
    <s v="A"/>
    <s v="INFLUENCIA EXTERNA"/>
    <s v="CORTE DO CARPETE- WATER JET"/>
    <s v=""/>
    <x v="0"/>
    <x v="2"/>
    <x v="1"/>
  </r>
  <r>
    <s v="S1008"/>
    <d v="2023-01-12T00:00:00"/>
    <x v="9"/>
    <x v="12"/>
    <x v="0"/>
    <x v="0"/>
    <s v="ROBERT"/>
    <s v="FELIPE"/>
    <s v=""/>
    <s v=""/>
    <x v="1"/>
    <x v="23"/>
    <s v="MECÂNICA"/>
    <x v="1"/>
    <n v="0"/>
    <n v="15"/>
    <s v="TESTETEVUYE"/>
    <s v="A"/>
    <s v="INFLUENCIA EXTERNA"/>
    <s v=""/>
    <s v=""/>
    <x v="10"/>
    <x v="1"/>
    <x v="1"/>
  </r>
  <r>
    <s v="S1009"/>
    <d v="2023-01-21T00:00:00"/>
    <x v="2"/>
    <x v="14"/>
    <x v="0"/>
    <x v="0"/>
    <s v="FELIPE"/>
    <s v="SILVIO"/>
    <s v=""/>
    <s v=""/>
    <x v="1"/>
    <x v="23"/>
    <s v="MECÂNICA"/>
    <x v="1"/>
    <n v="0"/>
    <n v="30"/>
    <s v="SETUP"/>
    <s v="A"/>
    <s v="INFLUENCIA EXTERNA"/>
    <s v=""/>
    <s v=""/>
    <x v="12"/>
    <x v="1"/>
    <x v="1"/>
  </r>
  <r>
    <n v="45898"/>
    <d v="2022-02-21T00:00:00"/>
    <x v="9"/>
    <x v="12"/>
    <x v="0"/>
    <x v="0"/>
    <s v="ROBERT"/>
    <s v="FELIPE"/>
    <s v=""/>
    <s v=""/>
    <x v="1"/>
    <x v="7"/>
    <s v="MECÂNICA"/>
    <x v="0"/>
    <n v="45"/>
    <n v="0"/>
    <s v="TROCA DA SAFIRA"/>
    <s v="P"/>
    <s v="EQUIPAMENTO TRABALHANDO COM CARGA EXCESSIVA "/>
    <s v="PRENSA DE MOLDAGEM CARPETE"/>
    <s v=""/>
    <x v="12"/>
    <x v="2"/>
    <x v="0"/>
  </r>
  <r>
    <s v="S1010"/>
    <d v="2022-02-21T00:00:00"/>
    <x v="2"/>
    <x v="16"/>
    <x v="0"/>
    <x v="0"/>
    <s v="FELIPE"/>
    <s v="CRISTIANO"/>
    <s v=""/>
    <s v=""/>
    <x v="1"/>
    <x v="7"/>
    <s v="MECÂNICA"/>
    <x v="1"/>
    <n v="0"/>
    <n v="30"/>
    <s v="SETUP"/>
    <s v="A"/>
    <s v="INFLUENCIA EXTERNA"/>
    <s v="PRENSA DE MOLDAGEM CARPETE"/>
    <s v=""/>
    <x v="12"/>
    <x v="2"/>
    <x v="0"/>
  </r>
  <r>
    <n v="12456"/>
    <d v="2023-02-21T00:00:00"/>
    <x v="9"/>
    <x v="12"/>
    <x v="0"/>
    <x v="0"/>
    <s v="ROBERT"/>
    <s v="FELIPE"/>
    <s v=""/>
    <s v=""/>
    <x v="1"/>
    <x v="16"/>
    <s v="ELÉTRICA"/>
    <x v="2"/>
    <n v="30"/>
    <n v="0"/>
    <s v="TESTE"/>
    <s v="P"/>
    <s v="EQUIPAMENTO TRABALHANDO COM CARGA EXCESSIVA "/>
    <s v="CORTE DO CARPETE- WATER JET"/>
    <s v=""/>
    <x v="12"/>
    <x v="2"/>
    <x v="1"/>
  </r>
  <r>
    <n v="13910"/>
    <d v="2023-01-12T00:00:00"/>
    <x v="3"/>
    <x v="0"/>
    <x v="0"/>
    <x v="0"/>
    <s v="RAFAEL"/>
    <s v=""/>
    <s v=""/>
    <s v=""/>
    <x v="2"/>
    <x v="54"/>
    <s v="MECÂNICA"/>
    <x v="0"/>
    <n v="130"/>
    <n v="0"/>
    <s v="TROCA DO RETENTOR"/>
    <s v="P"/>
    <s v="EQUIPAMENTO TRABALHANDO COM CARGA EXCESSIVA "/>
    <s v=""/>
    <s v=""/>
    <x v="10"/>
    <x v="1"/>
    <x v="1"/>
  </r>
  <r>
    <s v="S1637"/>
    <d v="2023-01-13T00:00:00"/>
    <x v="9"/>
    <x v="6"/>
    <x v="3"/>
    <x v="0"/>
    <s v="ROBERT"/>
    <s v="GENILSON"/>
    <s v="RONALDO"/>
    <s v=""/>
    <x v="1"/>
    <x v="15"/>
    <s v="MECÂNICA"/>
    <x v="1"/>
    <n v="0"/>
    <n v="60"/>
    <s v="SETUP"/>
    <s v="A"/>
    <s v="INFLUENCIA EXTERNA"/>
    <s v="PRENSA CORTE TUNNEL"/>
    <s v=""/>
    <x v="23"/>
    <x v="1"/>
    <x v="1"/>
  </r>
  <r>
    <n v="13927"/>
    <d v="2023-01-16T00:00:00"/>
    <x v="15"/>
    <x v="0"/>
    <x v="0"/>
    <x v="0"/>
    <s v="GENILSON"/>
    <s v=""/>
    <s v=""/>
    <s v=""/>
    <x v="1"/>
    <x v="7"/>
    <s v="MECÂNICA"/>
    <x v="0"/>
    <n v="40"/>
    <n v="0"/>
    <s v="REPARO DA SERPENTINA"/>
    <s v="P"/>
    <s v="EQUIPAMENTO TRABALHANDO COM CARGA EXCESSIVA "/>
    <s v="PRENSA DE MOLDAGEM CARPETE"/>
    <s v=""/>
    <x v="22"/>
    <x v="1"/>
    <x v="1"/>
  </r>
  <r>
    <n v="16061"/>
    <d v="2023-01-16T00:00:00"/>
    <x v="9"/>
    <x v="6"/>
    <x v="0"/>
    <x v="0"/>
    <s v="ROBERT"/>
    <s v="GENILSON"/>
    <s v=""/>
    <s v=""/>
    <x v="1"/>
    <x v="55"/>
    <s v="MECÂNICA"/>
    <x v="0"/>
    <n v="28"/>
    <n v="0"/>
    <s v="TROCA DA CONEXÃO"/>
    <s v="P"/>
    <s v="EQUIPAMENTO TRABALHANDO COM CARGA EXCESSIVA "/>
    <s v=""/>
    <s v=""/>
    <x v="22"/>
    <x v="1"/>
    <x v="1"/>
  </r>
  <r>
    <n v="16062"/>
    <d v="2023-01-16T00:00:00"/>
    <x v="9"/>
    <x v="6"/>
    <x v="0"/>
    <x v="0"/>
    <s v="ROBERT"/>
    <s v="GENILSON"/>
    <s v=""/>
    <s v=""/>
    <x v="1"/>
    <x v="8"/>
    <s v="MECÂNICA"/>
    <x v="0"/>
    <n v="20"/>
    <n v="0"/>
    <s v="REPOSICIONAMENTO DA BORRACHA"/>
    <s v="P"/>
    <s v="EQUIPAMENTO TRABALHANDO COM CARGA EXCESSIVA "/>
    <s v="CORTE DO TETO  - WATER JET 2"/>
    <s v=""/>
    <x v="22"/>
    <x v="1"/>
    <x v="1"/>
  </r>
  <r>
    <n v="16065"/>
    <d v="2023-01-16T00:00:00"/>
    <x v="9"/>
    <x v="0"/>
    <x v="0"/>
    <x v="0"/>
    <s v="ROBERT"/>
    <s v=""/>
    <s v=""/>
    <s v=""/>
    <x v="1"/>
    <x v="8"/>
    <s v="MECÂNICA"/>
    <x v="0"/>
    <n v="50"/>
    <n v="0"/>
    <s v="TROCA DO REPARO"/>
    <s v="P"/>
    <s v="EQUIPAMENTO TRABALHANDO COM CARGA EXCESSIVA "/>
    <s v="CORTE DO TETO  - WATER JET 2"/>
    <s v=""/>
    <x v="22"/>
    <x v="1"/>
    <x v="1"/>
  </r>
  <r>
    <n v="16063"/>
    <d v="2023-01-16T00:00:00"/>
    <x v="9"/>
    <x v="6"/>
    <x v="0"/>
    <x v="0"/>
    <s v="ROBERT"/>
    <s v="GENILSON"/>
    <s v=""/>
    <s v=""/>
    <x v="1"/>
    <x v="29"/>
    <s v="MECÂNICA"/>
    <x v="0"/>
    <n v="75"/>
    <n v="0"/>
    <s v="REPARO NA PISTOLA"/>
    <s v="P"/>
    <s v="EQUIPAMENTO TRABALHANDO COM CARGA EXCESSIVA "/>
    <s v=""/>
    <s v=""/>
    <x v="22"/>
    <x v="1"/>
    <x v="1"/>
  </r>
  <r>
    <s v="S1638"/>
    <d v="2023-01-16T00:00:00"/>
    <x v="2"/>
    <x v="14"/>
    <x v="0"/>
    <x v="0"/>
    <s v="FELIPE"/>
    <s v="SILVIO"/>
    <s v=""/>
    <s v=""/>
    <x v="1"/>
    <x v="30"/>
    <s v="MECÂNICA"/>
    <x v="1"/>
    <n v="0"/>
    <n v="40"/>
    <s v="SETUP"/>
    <s v="A"/>
    <s v="INFLUENCIA EXTERNA"/>
    <s v="PRENSA TERMOFORMAGEM"/>
    <s v=""/>
    <x v="22"/>
    <x v="1"/>
    <x v="1"/>
  </r>
  <r>
    <s v="S1639"/>
    <d v="2023-01-16T00:00:00"/>
    <x v="15"/>
    <x v="0"/>
    <x v="0"/>
    <x v="0"/>
    <s v="GENILSON"/>
    <s v=""/>
    <s v=""/>
    <s v=""/>
    <x v="1"/>
    <x v="56"/>
    <s v="MECÂNICA"/>
    <x v="1"/>
    <n v="0"/>
    <n v="20"/>
    <s v="SETUP"/>
    <s v="A"/>
    <s v="INFLUENCIA EXTERNA"/>
    <s v="PRENSA MOLDAGEM TUNNEL"/>
    <s v=""/>
    <x v="22"/>
    <x v="1"/>
    <x v="1"/>
  </r>
  <r>
    <n v="16091"/>
    <d v="2023-01-17T00:00:00"/>
    <x v="15"/>
    <x v="9"/>
    <x v="0"/>
    <x v="0"/>
    <s v="GENILSON"/>
    <s v="RONALDO"/>
    <s v=""/>
    <s v=""/>
    <x v="1"/>
    <x v="56"/>
    <s v="ELÉTRICA"/>
    <x v="0"/>
    <n v="60"/>
    <n v="0"/>
    <s v="REPARO NO IHM"/>
    <s v="P"/>
    <s v="EQUIPAMENTO TRABALHANDO COM CARGA EXCESSIVA "/>
    <s v="PRENSA MOLDAGEM TUNNEL"/>
    <s v=""/>
    <x v="24"/>
    <x v="1"/>
    <x v="1"/>
  </r>
  <r>
    <n v="16023"/>
    <d v="2023-01-17T00:00:00"/>
    <x v="9"/>
    <x v="6"/>
    <x v="0"/>
    <x v="0"/>
    <s v="ROBERT"/>
    <s v="GENILSON"/>
    <s v=""/>
    <s v=""/>
    <x v="1"/>
    <x v="54"/>
    <s v="MECÂNICA"/>
    <x v="0"/>
    <n v="10"/>
    <n v="0"/>
    <s v="REALIZADO TROCA DA MANGUEIRA"/>
    <s v="P"/>
    <s v="EQUIPAMENTO TRABALHANDO COM CARGA EXCESSIVA "/>
    <s v=""/>
    <s v=""/>
    <x v="24"/>
    <x v="1"/>
    <x v="1"/>
  </r>
  <r>
    <n v="13939"/>
    <d v="2023-01-17T00:00:00"/>
    <x v="15"/>
    <x v="0"/>
    <x v="0"/>
    <x v="0"/>
    <s v="GENILSON"/>
    <s v=""/>
    <s v=""/>
    <s v=""/>
    <x v="1"/>
    <x v="33"/>
    <s v="ELÉTRICA"/>
    <x v="0"/>
    <n v="11"/>
    <n v="0"/>
    <s v="AJUSTE NA POSIÇÃO DA MESA"/>
    <s v="P"/>
    <s v="EQUIPAMENTO TRABALHANDO COM CARGA EXCESSIVA "/>
    <s v="CORTE DO CARPETE- WATER JET"/>
    <s v=""/>
    <x v="24"/>
    <x v="1"/>
    <x v="1"/>
  </r>
  <r>
    <n v="13590"/>
    <d v="2023-01-17T00:00:00"/>
    <x v="1"/>
    <x v="15"/>
    <x v="0"/>
    <x v="0"/>
    <s v="DANILLO"/>
    <s v="ROBERT"/>
    <s v=""/>
    <s v=""/>
    <x v="1"/>
    <x v="10"/>
    <s v="ELÉTRICA"/>
    <x v="0"/>
    <n v="60"/>
    <n v="0"/>
    <s v="AJUSTE NO REGULADOR DE PRESSÃO DA BOMBA"/>
    <s v="P"/>
    <s v="EQUIPAMENTO TRABALHANDO COM CARGA EXCESSIVA "/>
    <s v="INJETORA"/>
    <s v=""/>
    <x v="24"/>
    <x v="1"/>
    <x v="1"/>
  </r>
  <r>
    <n v="16024"/>
    <d v="2023-01-17T00:00:00"/>
    <x v="1"/>
    <x v="0"/>
    <x v="0"/>
    <x v="0"/>
    <s v="DANILLO"/>
    <s v=""/>
    <s v=""/>
    <s v=""/>
    <x v="1"/>
    <x v="31"/>
    <s v="ELÉTRICA"/>
    <x v="0"/>
    <n v="15"/>
    <n v="0"/>
    <s v="AJUSTE DE FRQUENCIA NO INVERSOR DO POLIOL"/>
    <s v="C"/>
    <s v="FALHA EM COMPONENTES ELETRONICO"/>
    <s v="INJETORA CARPETE"/>
    <s v=""/>
    <x v="24"/>
    <x v="1"/>
    <x v="1"/>
  </r>
  <r>
    <n v="13941"/>
    <d v="2023-01-17T00:00:00"/>
    <x v="3"/>
    <x v="0"/>
    <x v="0"/>
    <x v="0"/>
    <s v="RAFAEL"/>
    <s v=""/>
    <s v=""/>
    <s v=""/>
    <x v="2"/>
    <x v="7"/>
    <s v="ELÉTRICA"/>
    <x v="0"/>
    <n v="26"/>
    <n v="0"/>
    <s v="AJUSTE NA POSIÇÃO DO SERVO MOTOR"/>
    <s v="C"/>
    <s v="FALHA EM COMPONENTES ELETRONICO"/>
    <s v="PRENSA DE MOLDAGEM CARPETE"/>
    <s v=""/>
    <x v="24"/>
    <x v="1"/>
    <x v="1"/>
  </r>
  <r>
    <n v="13940"/>
    <d v="2023-01-17T00:00:00"/>
    <x v="15"/>
    <x v="3"/>
    <x v="0"/>
    <x v="0"/>
    <s v="GENILSON"/>
    <s v=""/>
    <s v=""/>
    <s v=""/>
    <x v="1"/>
    <x v="16"/>
    <s v="ELÉTRICA"/>
    <x v="0"/>
    <n v="60"/>
    <n v="0"/>
    <s v="FEITO AJUSTE NO CORTE DO CARPET FRONTAL"/>
    <s v="C"/>
    <s v="FALHA EM COMPONENTES ELETRONICO"/>
    <s v="CORTE DO CARPETE- WATER JET"/>
    <s v=""/>
    <x v="24"/>
    <x v="1"/>
    <x v="1"/>
  </r>
  <r>
    <n v="13593"/>
    <d v="2023-01-17T00:00:00"/>
    <x v="5"/>
    <x v="0"/>
    <x v="0"/>
    <x v="0"/>
    <s v="ANDERSON"/>
    <s v=""/>
    <s v=""/>
    <s v=""/>
    <x v="2"/>
    <x v="10"/>
    <s v="MECÂNICA"/>
    <x v="0"/>
    <n v="15"/>
    <n v="0"/>
    <s v="TROCA DA AGULHA"/>
    <s v="P"/>
    <s v="EQUIPAMENTO TRABALHANDO COM CARGA EXCESSIVA "/>
    <s v="INJETORA"/>
    <s v=""/>
    <x v="24"/>
    <x v="1"/>
    <x v="1"/>
  </r>
  <r>
    <s v="S1640"/>
    <d v="2023-01-17T00:00:00"/>
    <x v="13"/>
    <x v="17"/>
    <x v="1"/>
    <x v="1"/>
    <s v="RUIGUENS"/>
    <s v=""/>
    <s v="ANDERSON"/>
    <s v="JOSINALDO"/>
    <x v="2"/>
    <x v="56"/>
    <s v="MECÂNICA"/>
    <x v="1"/>
    <n v="0"/>
    <n v="50"/>
    <s v="SETUP"/>
    <s v="A"/>
    <s v="INFLUENCIA EXTERNA"/>
    <s v="PRENSA MOLDAGEM TUNNEL"/>
    <s v=""/>
    <x v="24"/>
    <x v="1"/>
    <x v="1"/>
  </r>
  <r>
    <n v="16017"/>
    <d v="2023-01-18T00:00:00"/>
    <x v="9"/>
    <x v="0"/>
    <x v="0"/>
    <x v="0"/>
    <s v="ROBERT"/>
    <s v=""/>
    <s v=""/>
    <s v=""/>
    <x v="1"/>
    <x v="17"/>
    <s v="ELÉTRICA"/>
    <x v="0"/>
    <n v="5"/>
    <n v="0"/>
    <s v="COLOCADO EM AUTOMÁTICO"/>
    <s v="C"/>
    <s v="FALHA EM COMPONENTES ELETRONICO"/>
    <s v="VIROLA DO TETO 521"/>
    <s v=""/>
    <x v="25"/>
    <x v="1"/>
    <x v="1"/>
  </r>
  <r>
    <n v="16070"/>
    <d v="2023-01-18T00:00:00"/>
    <x v="6"/>
    <x v="0"/>
    <x v="0"/>
    <x v="0"/>
    <s v="ELIAS"/>
    <s v=""/>
    <s v=""/>
    <s v=""/>
    <x v="1"/>
    <x v="40"/>
    <s v="MECÂNICA"/>
    <x v="0"/>
    <n v="3"/>
    <n v="0"/>
    <s v="BOMBA ESTAVA SEM COLA"/>
    <s v="P"/>
    <s v="EQUIPAMENTO TRABALHANDO COM CARGA EXCESSIVA "/>
    <s v=""/>
    <s v=""/>
    <x v="25"/>
    <x v="1"/>
    <x v="1"/>
  </r>
  <r>
    <n v="13943"/>
    <d v="2023-01-18T00:00:00"/>
    <x v="11"/>
    <x v="11"/>
    <x v="10"/>
    <x v="0"/>
    <s v="VALDEMAR"/>
    <s v="JOSÉ"/>
    <s v="EDUARDO"/>
    <s v=""/>
    <x v="0"/>
    <x v="7"/>
    <s v="MECÂNICA"/>
    <x v="0"/>
    <n v="16"/>
    <n v="0"/>
    <s v="DESTRAVAMENTO DA ESTEIRA"/>
    <s v="P"/>
    <s v="EQUIPAMENTO TRABALHANDO COM CARGA EXCESSIVA "/>
    <s v="PRENSA DE MOLDAGEM CARPETE"/>
    <s v=""/>
    <x v="25"/>
    <x v="1"/>
    <x v="1"/>
  </r>
  <r>
    <n v="13942"/>
    <d v="2023-01-18T00:00:00"/>
    <x v="14"/>
    <x v="0"/>
    <x v="0"/>
    <x v="0"/>
    <s v="EDUARDO"/>
    <s v=""/>
    <s v=""/>
    <s v=""/>
    <x v="0"/>
    <x v="8"/>
    <s v="MECÂNICA"/>
    <x v="0"/>
    <n v="14"/>
    <n v="0"/>
    <s v="TROCA DA SAFIRA"/>
    <s v="P"/>
    <s v="EQUIPAMENTO TRABALHANDO COM CARGA EXCESSIVA "/>
    <s v="CORTE DO TETO  - WATER JET 2"/>
    <s v=""/>
    <x v="25"/>
    <x v="1"/>
    <x v="1"/>
  </r>
  <r>
    <n v="13944"/>
    <d v="2023-01-18T00:00:00"/>
    <x v="11"/>
    <x v="0"/>
    <x v="0"/>
    <x v="0"/>
    <s v="VALDEMAR"/>
    <s v=""/>
    <s v=""/>
    <s v=""/>
    <x v="0"/>
    <x v="8"/>
    <s v="MECÂNICA"/>
    <x v="0"/>
    <n v="47"/>
    <n v="0"/>
    <s v="TROCA DO BICO INTERNO E TROCA DA CAPA INTERNA DE VEDAÇÃO DA AGULHA"/>
    <s v="P"/>
    <s v="EQUIPAMENTO TRABALHANDO COM CARGA EXCESSIVA "/>
    <s v="CORTE DO TETO  - WATER JET 2"/>
    <s v=""/>
    <x v="25"/>
    <x v="1"/>
    <x v="1"/>
  </r>
  <r>
    <s v="S1641"/>
    <d v="2023-01-18T00:00:00"/>
    <x v="3"/>
    <x v="4"/>
    <x v="1"/>
    <x v="1"/>
    <s v="RAFAEL"/>
    <s v="RUIGUENS"/>
    <s v="ANDERSON"/>
    <s v="JOSINALDO"/>
    <x v="2"/>
    <x v="11"/>
    <s v="MECÂNICA"/>
    <x v="1"/>
    <n v="0"/>
    <n v="40"/>
    <s v="SETUP"/>
    <s v="A"/>
    <s v="INFLUENCIA EXTERNA"/>
    <s v="PRENSA MOLDAGEM 1"/>
    <s v=""/>
    <x v="25"/>
    <x v="1"/>
    <x v="1"/>
  </r>
  <r>
    <n v="13937"/>
    <d v="2023-01-17T00:00:00"/>
    <x v="1"/>
    <x v="0"/>
    <x v="0"/>
    <x v="0"/>
    <s v="DANILLO"/>
    <s v=""/>
    <s v=""/>
    <s v=""/>
    <x v="1"/>
    <x v="57"/>
    <s v="ELÉTRICO"/>
    <x v="0"/>
    <n v="20"/>
    <n v="0"/>
    <s v="AJUSTE EM CILCINDRO HIDRÁULICO ESQUERDO DE AVANÇO"/>
    <s v="P"/>
    <s v="EQUIPAMENTO TRABALHANDO COM CARGA EXCESSIVA "/>
    <s v="PRENSA CORTE PARCEL SHELF "/>
    <s v=""/>
    <x v="24"/>
    <x v="1"/>
    <x v="1"/>
  </r>
  <r>
    <n v="13934"/>
    <d v="2023-01-17T00:00:00"/>
    <x v="11"/>
    <x v="11"/>
    <x v="0"/>
    <x v="0"/>
    <s v="VALDEMAR"/>
    <s v="JOSÉ"/>
    <s v=""/>
    <s v=""/>
    <x v="0"/>
    <x v="7"/>
    <s v="MECÂNICO"/>
    <x v="0"/>
    <n v="60"/>
    <n v="0"/>
    <s v="FEITO LIMPEZA NOS TRILHOS"/>
    <s v="P"/>
    <s v="EQUIPAMENTO TRABALHANDO COM CARGA EXCESSIVA "/>
    <s v="PRENSA DE MOLDAGEM CARPETE"/>
    <s v=""/>
    <x v="24"/>
    <x v="1"/>
    <x v="1"/>
  </r>
  <r>
    <n v="13935"/>
    <d v="2023-01-17T00:00:00"/>
    <x v="11"/>
    <x v="11"/>
    <x v="0"/>
    <x v="0"/>
    <s v="VALDEMAR"/>
    <s v="JOSÉ"/>
    <s v=""/>
    <s v=""/>
    <x v="0"/>
    <x v="33"/>
    <s v="ELÉTRICO"/>
    <x v="0"/>
    <n v="7"/>
    <n v="0"/>
    <s v="RELIGADA A CHAVE GERAL E FEITO ALINHAMENTO DA BARREIRA DE LUZ"/>
    <s v="C"/>
    <s v="FALHA EM COMPONENTES ELETRONICO"/>
    <s v="CORTE DO CARPETE- WATER JET"/>
    <s v=""/>
    <x v="24"/>
    <x v="1"/>
    <x v="1"/>
  </r>
  <r>
    <n v="13936"/>
    <d v="2023-01-17T00:00:00"/>
    <x v="11"/>
    <x v="0"/>
    <x v="0"/>
    <x v="0"/>
    <s v="VALDEMAR"/>
    <s v=""/>
    <s v=""/>
    <s v=""/>
    <x v="0"/>
    <x v="16"/>
    <s v="MECÂNICO"/>
    <x v="0"/>
    <n v="45"/>
    <n v="0"/>
    <s v="REALIZADO TESTES E REALIZADO LIMPEZA NO ESPIGÃO E NA ENTRADA DA ÁGUA GELADA NO INTENSIFICADOR"/>
    <s v="P"/>
    <s v="EQUIPAMENTO TRABALHANDO COM CARGA EXCESSIVA "/>
    <s v="CORTE DO CARPETE- WATER JET"/>
    <s v=""/>
    <x v="24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op 10" cacheId="39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H6:I17" firstHeaderRow="1" firstDataRow="1" firstDataCol="1" rowPageCount="4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 measureFilter="1" sortType="descending">
      <items count="60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x="54"/>
        <item x="55"/>
        <item m="1" x="58"/>
        <item x="56"/>
        <item x="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11">
    <i>
      <x v="23"/>
    </i>
    <i>
      <x v="28"/>
    </i>
    <i>
      <x v="22"/>
    </i>
    <i>
      <x v="18"/>
    </i>
    <i>
      <x v="43"/>
    </i>
    <i>
      <x v="13"/>
    </i>
    <i>
      <x v="40"/>
    </i>
    <i>
      <x v="16"/>
    </i>
    <i>
      <x v="9"/>
    </i>
    <i>
      <x v="21"/>
    </i>
    <i t="grand">
      <x/>
    </i>
  </rowItems>
  <colItems count="1">
    <i/>
  </colItems>
  <pageFields count="4">
    <pageField fld="21" hier="-1"/>
    <pageField fld="22" item="2" hier="-1"/>
    <pageField fld="23" item="0" hier="-1"/>
    <pageField fld="10" hier="-1"/>
  </pageFields>
  <dataFields count="1">
    <dataField name="Soma de Tempo Parada" fld="14" baseField="11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erviceTimeTable" cacheId="39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S10:T11" firstHeaderRow="0" firstDataRow="1" firstDataCol="0" rowPageCount="8" colPageCount="1"/>
  <pivotFields count="24">
    <pivotField showAll="0"/>
    <pivotField numFmtId="166" showAll="0"/>
    <pivotField axis="axisPage" showAll="0">
      <items count="18">
        <item x="9"/>
        <item x="11"/>
        <item x="2"/>
        <item x="13"/>
        <item x="7"/>
        <item x="16"/>
        <item x="12"/>
        <item x="14"/>
        <item x="6"/>
        <item x="5"/>
        <item x="8"/>
        <item x="4"/>
        <item x="3"/>
        <item x="15"/>
        <item x="1"/>
        <item x="10"/>
        <item x="0"/>
        <item t="default"/>
      </items>
    </pivotField>
    <pivotField axis="axisPage" showAll="0">
      <items count="19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x="17"/>
        <item t="default"/>
      </items>
    </pivotField>
    <pivotField axis="axisPage" showAll="0">
      <items count="12">
        <item x="8"/>
        <item x="7"/>
        <item x="2"/>
        <item x="9"/>
        <item x="1"/>
        <item x="4"/>
        <item x="6"/>
        <item x="5"/>
        <item x="3"/>
        <item x="0"/>
        <item x="1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showAll="0"/>
    <pivotField showAll="0"/>
    <pivotField showAll="0" defaultSubtota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1" item="24" hier="-1"/>
    <pageField fld="22" item="1" hier="-1"/>
    <pageField fld="23" item="1" hier="-1"/>
  </pageFields>
  <dataFields count="2">
    <dataField name="Soma de Tempo Parada" fld="14" baseField="0" baseItem="1"/>
    <dataField name="Soma de Tempo Setup" fld="1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empo de parada" cacheId="39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K7:M62" firstHeaderRow="0" firstDataRow="1" firstDataCol="1" rowPageCount="5" colPageCount="1"/>
  <pivotFields count="24">
    <pivotField showAll="0"/>
    <pivotField numFmtId="166"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2"/>
        <item x="0"/>
        <item t="default"/>
      </items>
    </pivotField>
    <pivotField axis="axisRow" showAll="0">
      <items count="60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x="54"/>
        <item x="55"/>
        <item m="1" x="58"/>
        <item x="56"/>
        <item x="57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22"/>
        <item n="2"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t="default"/>
      </items>
    </pivotField>
    <pivotField axis="axisPage" showAll="0">
      <items count="4">
        <item x="1"/>
        <item x="2"/>
        <item x="0"/>
        <item t="default"/>
      </items>
    </pivotField>
    <pivotField axis="axisPage" showAll="0">
      <items count="3">
        <item x="0"/>
        <item x="1"/>
        <item t="default"/>
      </items>
    </pivotField>
  </pivotFields>
  <rowFields count="1">
    <field x="11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Fields count="1">
    <field x="-2"/>
  </colFields>
  <colItems count="2">
    <i>
      <x/>
    </i>
    <i i="1">
      <x v="1"/>
    </i>
  </colItems>
  <pageFields count="5">
    <pageField fld="21" hier="-1"/>
    <pageField fld="22" item="2" hier="-1"/>
    <pageField fld="23" item="0" hier="-1"/>
    <pageField fld="10" hier="-1"/>
    <pageField fld="13" item="0" hier="-1"/>
  </pageFields>
  <dataFields count="2">
    <dataField name="Soma de Tempo Parada" fld="14" baseField="11" baseItem="0"/>
    <dataField name="Contagem de Tempo Parada2" fld="14" subtotal="count" baseField="1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X286" totalsRowShown="0" headerRowDxfId="25" dataDxfId="24">
  <autoFilter ref="A1:X286"/>
  <tableColumns count="24">
    <tableColumn id="1" name="N° Os" dataDxfId="23"/>
    <tableColumn id="2" name="Data" dataDxfId="22"/>
    <tableColumn id="20" name="Mat. 1" dataDxfId="21" dataCellStyle="Vírgula"/>
    <tableColumn id="19" name="Mat. 2" dataDxfId="20"/>
    <tableColumn id="18" name="Mat. 3" dataDxfId="19"/>
    <tableColumn id="17" name="Mat. 4" dataDxfId="18"/>
    <tableColumn id="3" name="Manut 1" dataDxfId="17">
      <calculatedColumnFormula>IFERROR(VLOOKUP(Tabela1[[#This Row],[Mat. 1]],'Base de Dados'!$I$5:$J$21,2,0),"")</calculatedColumnFormula>
    </tableColumn>
    <tableColumn id="4" name="Manut 2" dataDxfId="16">
      <calculatedColumnFormula>IFERROR(VLOOKUP(Tabela1[[#This Row],[Mat. 2]],'Base de Dados'!$I$5:$J$21,2,0),"")</calculatedColumnFormula>
    </tableColumn>
    <tableColumn id="5" name="Manut 3" dataDxfId="15">
      <calculatedColumnFormula>IFERROR(VLOOKUP(Tabela1[[#This Row],[Mat. 3]],'Base de Dados'!$I$5:$J$21,2,0),"")</calculatedColumnFormula>
    </tableColumn>
    <tableColumn id="6" name="Manut 4" dataDxfId="14">
      <calculatedColumnFormula>IFERROR(VLOOKUP(Tabela1[[#This Row],[Mat. 4]],'Base de Dados'!$I$5:$J$21,2,0),"")</calculatedColumnFormula>
    </tableColumn>
    <tableColumn id="7" name="Turno" dataDxfId="13">
      <calculatedColumnFormula>IFERROR(VLOOKUP(Tabela1[[#This Row],[Mat. 1]],'Base de Dados'!$I$2:$M$21,5,0),"")</calculatedColumnFormula>
    </tableColumn>
    <tableColumn id="8" name="Tag" dataDxfId="12"/>
    <tableColumn id="9" name="Natureza" dataDxfId="11"/>
    <tableColumn id="24" name="Tipo" dataDxfId="10"/>
    <tableColumn id="10" name="Tempo Parada" dataDxfId="9"/>
    <tableColumn id="11" name="Tempo Setup" dataDxfId="8"/>
    <tableColumn id="13" name="Falha" dataDxfId="7"/>
    <tableColumn id="12" name="Cód. Causa" dataDxfId="6"/>
    <tableColumn id="14" name="Tipo de Causa" dataDxfId="5">
      <calculatedColumnFormula>IFERROR(VLOOKUP(Tabela1[[#This Row],[Cód. Causa]],'Base de Dados'!$O$2:$P$21,2,0),"")</calculatedColumnFormula>
    </tableColumn>
    <tableColumn id="15" name="Equipamento" dataDxfId="4">
      <calculatedColumnFormula>IFERROR(VLOOKUP(Tabela1[[#This Row],[Tag]],'Base de Dados'!$B$2:$C$64,2,0),"")</calculatedColumnFormula>
    </tableColumn>
    <tableColumn id="16" name="Setor " dataDxfId="3">
      <calculatedColumnFormula>IFERROR(VLOOKUP(Tabela1[[#This Row],[Tag]],'Base de Dados'!V2:W53,2,0),"")</calculatedColumnFormula>
    </tableColumn>
    <tableColumn id="21" name="Dia" dataDxfId="2">
      <calculatedColumnFormula>DAY(Tabela1[[#This Row],[Data]])</calculatedColumnFormula>
    </tableColumn>
    <tableColumn id="22" name="Mês" dataDxfId="1">
      <calculatedColumnFormula>MONTH(Tabela1[[#This Row],[Data]])</calculatedColumnFormula>
    </tableColumn>
    <tableColumn id="23" name="Ano" dataDxfId="0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25"/>
  <sheetViews>
    <sheetView topLeftCell="A20" workbookViewId="0">
      <selection activeCell="K33" sqref="K33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64" t="s">
        <v>10</v>
      </c>
      <c r="P1" s="64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273</v>
      </c>
      <c r="Z1" s="3" t="s">
        <v>274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275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275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275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275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275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275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275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275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275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276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276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277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277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278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278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278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278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278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278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278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278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534</v>
      </c>
      <c r="V23" s="25" t="s">
        <v>130</v>
      </c>
      <c r="W23" s="25" t="s">
        <v>93</v>
      </c>
      <c r="Y23" s="25" t="s">
        <v>130</v>
      </c>
      <c r="Z23" s="25" t="s">
        <v>278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294</v>
      </c>
      <c r="H24" s="10">
        <v>1</v>
      </c>
      <c r="I24" s="10">
        <f ca="1">DAY(EOMONTH(J24,0))</f>
        <v>31</v>
      </c>
      <c r="J24" s="30">
        <f ca="1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278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282</v>
      </c>
      <c r="G25" s="11" t="s">
        <v>295</v>
      </c>
      <c r="H25" s="121">
        <v>2</v>
      </c>
      <c r="I25" s="121">
        <f ca="1">DAY(EOMONTH(J25,0))</f>
        <v>28</v>
      </c>
      <c r="J25" s="30">
        <f ca="1">DATE(YEAR(TODAY()),H25,1)</f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278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283</v>
      </c>
      <c r="G26" s="11" t="s">
        <v>296</v>
      </c>
      <c r="H26" s="10">
        <v>3</v>
      </c>
      <c r="I26" s="10">
        <f ca="1">DAY(EOMONTH(J26,0))</f>
        <v>31</v>
      </c>
      <c r="J26" s="30">
        <f ca="1">DATE(YEAR(TODAY()),H26,1)</f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278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284</v>
      </c>
      <c r="G27" s="11" t="s">
        <v>297</v>
      </c>
      <c r="H27" s="10">
        <v>4</v>
      </c>
      <c r="I27" s="10">
        <f ca="1">DAY(EOMONTH(J27,0))</f>
        <v>30</v>
      </c>
      <c r="J27" s="30">
        <f ca="1">DATE(YEAR(TODAY()),H27,1)</f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278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285</v>
      </c>
      <c r="G28" s="11" t="s">
        <v>298</v>
      </c>
      <c r="H28" s="10">
        <v>5</v>
      </c>
      <c r="I28" s="10">
        <f ca="1">DAY(EOMONTH(J28,0))</f>
        <v>31</v>
      </c>
      <c r="J28" s="30">
        <f ca="1">DATE(YEAR(TODAY()),H28,1)</f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278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286</v>
      </c>
      <c r="G29" s="11" t="s">
        <v>299</v>
      </c>
      <c r="H29" s="10">
        <v>6</v>
      </c>
      <c r="I29" s="10">
        <f ca="1">DAY(EOMONTH(J29,0))</f>
        <v>30</v>
      </c>
      <c r="J29" s="30">
        <f ca="1">DATE(YEAR(TODAY()),H29,1)</f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278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287</v>
      </c>
      <c r="G30" s="11" t="s">
        <v>300</v>
      </c>
      <c r="H30" s="10">
        <v>7</v>
      </c>
      <c r="I30" s="10">
        <f ca="1">DAY(EOMONTH(J30,0))</f>
        <v>31</v>
      </c>
      <c r="J30" s="30">
        <f ca="1">DATE(YEAR(TODAY()),H30,1)</f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278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288</v>
      </c>
      <c r="G31" s="11" t="s">
        <v>301</v>
      </c>
      <c r="H31" s="10">
        <v>8</v>
      </c>
      <c r="I31" s="10">
        <f ca="1">DAY(EOMONTH(J31,0))</f>
        <v>31</v>
      </c>
      <c r="J31" s="30">
        <f ca="1">DATE(YEAR(TODAY()),H31,1)</f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278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289</v>
      </c>
      <c r="G32" s="11" t="s">
        <v>302</v>
      </c>
      <c r="H32" s="10">
        <v>9</v>
      </c>
      <c r="I32" s="10">
        <f ca="1">DAY(EOMONTH(J32,0))</f>
        <v>30</v>
      </c>
      <c r="J32" s="30">
        <f ca="1">DATE(YEAR(TODAY()),H32,1)</f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278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290</v>
      </c>
      <c r="G33" s="11" t="s">
        <v>303</v>
      </c>
      <c r="H33" s="10">
        <v>10</v>
      </c>
      <c r="I33" s="10">
        <f ca="1">DAY(EOMONTH(J33,0))</f>
        <v>31</v>
      </c>
      <c r="J33" s="30">
        <f ca="1">DATE(YEAR(TODAY()),H33,1)</f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278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291</v>
      </c>
      <c r="G34" s="11" t="s">
        <v>304</v>
      </c>
      <c r="H34" s="10">
        <v>11</v>
      </c>
      <c r="I34" s="10">
        <f ca="1">DAY(EOMONTH(J34,0))</f>
        <v>30</v>
      </c>
      <c r="J34" s="30">
        <f ca="1">DATE(YEAR(TODAY()),H34,1)</f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278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292</v>
      </c>
      <c r="G35" s="11" t="s">
        <v>305</v>
      </c>
      <c r="H35" s="10">
        <v>12</v>
      </c>
      <c r="I35" s="10">
        <f t="shared" ref="I35" ca="1" si="1">DAY(EOMONTH(J35,0))</f>
        <v>31</v>
      </c>
      <c r="J35" s="30">
        <f t="shared" ref="J35" ca="1" si="2">DATE(YEAR(TODAY()),H35,1)</f>
        <v>45261</v>
      </c>
      <c r="P35" s="14"/>
      <c r="V35" s="25" t="s">
        <v>172</v>
      </c>
      <c r="W35" s="25" t="s">
        <v>174</v>
      </c>
      <c r="Y35" s="25" t="s">
        <v>279</v>
      </c>
      <c r="Z35" s="25" t="s">
        <v>278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280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280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554</v>
      </c>
      <c r="P38" s="14"/>
      <c r="V38" s="25" t="s">
        <v>179</v>
      </c>
      <c r="W38" s="25" t="s">
        <v>174</v>
      </c>
      <c r="Y38" s="25" t="s">
        <v>187</v>
      </c>
      <c r="Z38" s="25" t="s">
        <v>280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1649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3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3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</row>
    <row r="51" spans="1:23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3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3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250</v>
      </c>
      <c r="W53" s="25" t="s">
        <v>250</v>
      </c>
    </row>
    <row r="54" spans="1:23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570</v>
      </c>
      <c r="W54" s="25" t="s">
        <v>570</v>
      </c>
    </row>
    <row r="55" spans="1:23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5" t="s">
        <v>253</v>
      </c>
      <c r="W55" s="25" t="s">
        <v>252</v>
      </c>
    </row>
    <row r="56" spans="1:23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</row>
    <row r="57" spans="1:23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</row>
    <row r="58" spans="1:23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3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3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3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3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3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3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/>
      <c r="J121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F123"/>
      <c r="G123"/>
      <c r="H123"/>
      <c r="I123"/>
      <c r="J123"/>
      <c r="K123"/>
      <c r="L123"/>
      <c r="M123"/>
      <c r="P123" s="14"/>
      <c r="V123" s="26"/>
      <c r="W123" s="26"/>
    </row>
    <row r="124" spans="1:23" x14ac:dyDescent="0.25">
      <c r="V124" s="26"/>
      <c r="W124" s="26"/>
    </row>
    <row r="125" spans="1:23" x14ac:dyDescent="0.25">
      <c r="V125" s="26"/>
      <c r="W125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2:C2"/>
  <sheetViews>
    <sheetView workbookViewId="0">
      <selection activeCell="D24" sqref="D24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542</v>
      </c>
      <c r="C2" t="s">
        <v>543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286"/>
  <sheetViews>
    <sheetView showGridLines="0" topLeftCell="A279" zoomScale="70" zoomScaleNormal="70" workbookViewId="0">
      <selection activeCell="I297" sqref="I297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6" customWidth="1"/>
    <col min="18" max="18" width="17.85546875" bestFit="1" customWidth="1"/>
    <col min="19" max="20" width="37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545</v>
      </c>
      <c r="K1" s="19" t="s">
        <v>226</v>
      </c>
      <c r="L1" s="19" t="s">
        <v>227</v>
      </c>
      <c r="M1" s="19" t="s">
        <v>228</v>
      </c>
      <c r="N1" s="37" t="s">
        <v>552</v>
      </c>
      <c r="O1" s="19" t="s">
        <v>229</v>
      </c>
      <c r="P1" s="19" t="s">
        <v>230</v>
      </c>
      <c r="Q1" s="44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530</v>
      </c>
      <c r="W1" s="37" t="s">
        <v>531</v>
      </c>
      <c r="X1" s="37" t="s">
        <v>532</v>
      </c>
    </row>
    <row r="2" spans="1:24" s="18" customFormat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310</v>
      </c>
      <c r="N2" s="18" t="s">
        <v>553</v>
      </c>
      <c r="O2" s="18">
        <v>46</v>
      </c>
      <c r="P2" s="18">
        <v>0</v>
      </c>
      <c r="Q2" s="45" t="s">
        <v>311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Dados'!V2:W53,2,0),"")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310</v>
      </c>
      <c r="N3" s="18" t="s">
        <v>553</v>
      </c>
      <c r="O3" s="18">
        <v>35</v>
      </c>
      <c r="P3" s="18">
        <v>0</v>
      </c>
      <c r="Q3" s="45" t="s">
        <v>312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313</v>
      </c>
      <c r="N4" s="18" t="s">
        <v>553</v>
      </c>
      <c r="O4" s="18">
        <v>0</v>
      </c>
      <c r="P4" s="18"/>
      <c r="Q4" s="45" t="s">
        <v>314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Dados'!V4:W58,2,0),"")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313</v>
      </c>
      <c r="N5" s="18" t="s">
        <v>553</v>
      </c>
      <c r="O5" s="18">
        <v>240</v>
      </c>
      <c r="P5" s="18">
        <v>0</v>
      </c>
      <c r="Q5" s="45" t="s">
        <v>315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Dados'!V5:W59,2,0),"")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316</v>
      </c>
      <c r="M6" s="18" t="s">
        <v>313</v>
      </c>
      <c r="N6" s="18" t="s">
        <v>553</v>
      </c>
      <c r="O6" s="18">
        <v>21</v>
      </c>
      <c r="P6" s="18">
        <v>0</v>
      </c>
      <c r="Q6" s="45" t="s">
        <v>317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Dados'!V6:W60,2,0),"")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313</v>
      </c>
      <c r="N7" s="18" t="s">
        <v>553</v>
      </c>
      <c r="O7" s="18">
        <v>13</v>
      </c>
      <c r="P7" s="18">
        <v>0</v>
      </c>
      <c r="Q7" s="45" t="s">
        <v>318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Dados'!V7:W61,2,0),"")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310</v>
      </c>
      <c r="N8" s="18" t="s">
        <v>553</v>
      </c>
      <c r="O8" s="18">
        <v>10</v>
      </c>
      <c r="P8" s="18">
        <v>0</v>
      </c>
      <c r="Q8" s="45" t="s">
        <v>319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Dados'!V8:W62,2,0),"")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313</v>
      </c>
      <c r="N9" s="18" t="s">
        <v>553</v>
      </c>
      <c r="O9" s="18">
        <v>40</v>
      </c>
      <c r="P9" s="18">
        <v>0</v>
      </c>
      <c r="Q9" s="45" t="s">
        <v>320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Dados'!V9:W63,2,0),"")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313</v>
      </c>
      <c r="N10" s="18" t="s">
        <v>553</v>
      </c>
      <c r="O10" s="18">
        <v>25</v>
      </c>
      <c r="P10" s="18">
        <v>0</v>
      </c>
      <c r="Q10" s="45" t="s">
        <v>321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Dados'!V10:W64,2,0),"")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310</v>
      </c>
      <c r="N11" s="18" t="s">
        <v>553</v>
      </c>
      <c r="O11" s="18">
        <v>15</v>
      </c>
      <c r="P11" s="18">
        <v>0</v>
      </c>
      <c r="Q11" s="45" t="s">
        <v>322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Dados'!V11:W65,2,0),"")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313</v>
      </c>
      <c r="N12" s="18" t="s">
        <v>553</v>
      </c>
      <c r="O12" s="18">
        <v>25</v>
      </c>
      <c r="P12" s="18">
        <v>0</v>
      </c>
      <c r="Q12" s="45" t="s">
        <v>323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Dados'!V12:W66,2,0),"")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313</v>
      </c>
      <c r="N13" s="18" t="s">
        <v>553</v>
      </c>
      <c r="O13" s="18">
        <v>10</v>
      </c>
      <c r="P13" s="18">
        <v>0</v>
      </c>
      <c r="Q13" s="45" t="s">
        <v>324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Dados'!V13:W67,2,0),"")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325</v>
      </c>
      <c r="M14" s="18" t="s">
        <v>313</v>
      </c>
      <c r="N14" s="18" t="s">
        <v>553</v>
      </c>
      <c r="O14" s="18">
        <v>43</v>
      </c>
      <c r="P14" s="18">
        <v>0</v>
      </c>
      <c r="Q14" s="45" t="s">
        <v>326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Dados'!V14:W68,2,0),"")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x14ac:dyDescent="0.25">
      <c r="A15" s="22">
        <v>12912</v>
      </c>
      <c r="B15" s="21">
        <v>44866</v>
      </c>
      <c r="C15" s="23">
        <v>15</v>
      </c>
      <c r="D15" s="24"/>
      <c r="E15" s="24"/>
      <c r="F15" s="24"/>
      <c r="G15" s="18" t="str">
        <f>IFERROR(VLOOKUP(Tabela1[[#This Row],[Mat. 1]],'Base de Dados'!$I$5:$J$21,2,0),"")</f>
        <v>ROBERT</v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>1º</v>
      </c>
      <c r="L15" s="18" t="s">
        <v>141</v>
      </c>
      <c r="M15" s="18" t="s">
        <v>313</v>
      </c>
      <c r="N15" s="18" t="s">
        <v>553</v>
      </c>
      <c r="O15" s="18">
        <v>0</v>
      </c>
      <c r="P15" s="18">
        <v>6</v>
      </c>
      <c r="Q15" s="45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Dados'!V15:W69,2,0),"")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313</v>
      </c>
      <c r="N16" s="18" t="s">
        <v>553</v>
      </c>
      <c r="O16" s="18">
        <v>6</v>
      </c>
      <c r="P16" s="18">
        <v>0</v>
      </c>
      <c r="Q16" s="45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Dados'!V16:W70,2,0),"")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313</v>
      </c>
      <c r="N17" s="18" t="s">
        <v>553</v>
      </c>
      <c r="O17" s="18">
        <v>22</v>
      </c>
      <c r="P17" s="18">
        <v>0</v>
      </c>
      <c r="Q17" s="45" t="s">
        <v>327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Dados'!V17:W71,2,0),"")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313</v>
      </c>
      <c r="N18" s="18" t="s">
        <v>553</v>
      </c>
      <c r="O18" s="18">
        <v>38</v>
      </c>
      <c r="P18" s="18">
        <v>0</v>
      </c>
      <c r="Q18" s="45" t="s">
        <v>328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Dados'!V18:W72,2,0),"")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310</v>
      </c>
      <c r="N19" s="18" t="s">
        <v>553</v>
      </c>
      <c r="O19" s="18">
        <v>10</v>
      </c>
      <c r="P19" s="18">
        <v>0</v>
      </c>
      <c r="Q19" s="45" t="s">
        <v>329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Dados'!V19:W73,2,0),"")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313</v>
      </c>
      <c r="N20" s="18" t="s">
        <v>553</v>
      </c>
      <c r="O20" s="18">
        <v>0</v>
      </c>
      <c r="P20" s="18">
        <v>50</v>
      </c>
      <c r="Q20" s="45" t="s">
        <v>330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Dados'!V20:W74,2,0),"")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313</v>
      </c>
      <c r="N21" s="18" t="s">
        <v>553</v>
      </c>
      <c r="O21" s="18">
        <v>20</v>
      </c>
      <c r="P21" s="18">
        <v>0</v>
      </c>
      <c r="Q21" s="45" t="s">
        <v>331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Dados'!V21:W75,2,0),"")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313</v>
      </c>
      <c r="N22" s="18" t="s">
        <v>553</v>
      </c>
      <c r="O22" s="18">
        <v>25</v>
      </c>
      <c r="P22" s="18">
        <v>0</v>
      </c>
      <c r="Q22" s="45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Dados'!V22:W76,2,0),"")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313</v>
      </c>
      <c r="N23" s="18" t="s">
        <v>553</v>
      </c>
      <c r="O23" s="18">
        <v>27</v>
      </c>
      <c r="P23" s="18">
        <v>0</v>
      </c>
      <c r="Q23" s="45" t="s">
        <v>332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Dados'!V23:W77,2,0),"")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310</v>
      </c>
      <c r="N24" s="18" t="s">
        <v>553</v>
      </c>
      <c r="O24" s="18">
        <v>5</v>
      </c>
      <c r="P24" s="18">
        <v>0</v>
      </c>
      <c r="Q24" s="45" t="s">
        <v>333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Dados'!V24:W78,2,0),"")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313</v>
      </c>
      <c r="N25" s="18" t="s">
        <v>553</v>
      </c>
      <c r="O25" s="18">
        <v>59</v>
      </c>
      <c r="P25" s="18">
        <v>0</v>
      </c>
      <c r="Q25" s="45" t="s">
        <v>334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Dados'!V25:W79,2,0),"")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310</v>
      </c>
      <c r="N26" s="18" t="s">
        <v>553</v>
      </c>
      <c r="O26" s="18">
        <v>0</v>
      </c>
      <c r="P26" s="18">
        <v>0</v>
      </c>
      <c r="Q26" s="45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Dados'!V26:W80,2,0),"")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310</v>
      </c>
      <c r="N27" s="18" t="s">
        <v>553</v>
      </c>
      <c r="O27" s="18">
        <v>60</v>
      </c>
      <c r="P27" s="18">
        <v>0</v>
      </c>
      <c r="Q27" s="45" t="s">
        <v>335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Dados'!V27:W81,2,0),"")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310</v>
      </c>
      <c r="N28" s="18" t="s">
        <v>553</v>
      </c>
      <c r="O28" s="18">
        <v>30</v>
      </c>
      <c r="P28" s="18">
        <v>0</v>
      </c>
      <c r="Q28" s="45" t="s">
        <v>336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Dados'!V28:W82,2,0),"")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310</v>
      </c>
      <c r="N29" s="18" t="s">
        <v>553</v>
      </c>
      <c r="O29" s="18">
        <v>40</v>
      </c>
      <c r="P29" s="18">
        <v>0</v>
      </c>
      <c r="Q29" s="45" t="s">
        <v>337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Dados'!V29:W83,2,0),"")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310</v>
      </c>
      <c r="N30" s="18" t="s">
        <v>553</v>
      </c>
      <c r="O30" s="18">
        <v>20</v>
      </c>
      <c r="P30" s="18">
        <v>0</v>
      </c>
      <c r="Q30" s="45" t="s">
        <v>338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Dados'!V30:W84,2,0),"")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313</v>
      </c>
      <c r="N31" s="18" t="s">
        <v>553</v>
      </c>
      <c r="O31" s="18">
        <v>0</v>
      </c>
      <c r="P31" s="18">
        <v>13</v>
      </c>
      <c r="Q31" s="45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Dados'!V31:W85,2,0),"")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310</v>
      </c>
      <c r="N32" s="18" t="s">
        <v>553</v>
      </c>
      <c r="O32" s="18">
        <v>10</v>
      </c>
      <c r="P32" s="18">
        <v>0</v>
      </c>
      <c r="Q32" s="45" t="s">
        <v>339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Dados'!V32:W86,2,0),"")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313</v>
      </c>
      <c r="N33" s="18" t="s">
        <v>553</v>
      </c>
      <c r="O33" s="18">
        <v>20</v>
      </c>
      <c r="P33" s="18">
        <v>0</v>
      </c>
      <c r="Q33" s="45" t="s">
        <v>340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Dados'!V33:W87,2,0),"")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313</v>
      </c>
      <c r="N34" s="18" t="s">
        <v>553</v>
      </c>
      <c r="O34" s="18">
        <v>60</v>
      </c>
      <c r="P34" s="18">
        <v>0</v>
      </c>
      <c r="Q34" s="45" t="s">
        <v>341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Dados'!V34:W88,2,0),"")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310</v>
      </c>
      <c r="N35" s="18" t="s">
        <v>553</v>
      </c>
      <c r="O35" s="18">
        <v>30</v>
      </c>
      <c r="P35" s="18">
        <v>0</v>
      </c>
      <c r="Q35" s="45" t="s">
        <v>342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Dados'!V35:W89,2,0),"")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313</v>
      </c>
      <c r="N36" s="18" t="s">
        <v>553</v>
      </c>
      <c r="O36" s="18">
        <v>5</v>
      </c>
      <c r="P36" s="18">
        <v>0</v>
      </c>
      <c r="Q36" s="45" t="s">
        <v>343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Dados'!V36:W90,2,0),"")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313</v>
      </c>
      <c r="N37" s="18" t="s">
        <v>553</v>
      </c>
      <c r="O37" s="18">
        <v>30</v>
      </c>
      <c r="P37" s="18">
        <v>0</v>
      </c>
      <c r="Q37" s="45" t="s">
        <v>344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Dados'!V37:W91,2,0),"")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313</v>
      </c>
      <c r="N38" s="18" t="s">
        <v>553</v>
      </c>
      <c r="O38" s="18">
        <v>16</v>
      </c>
      <c r="P38" s="18">
        <v>0</v>
      </c>
      <c r="Q38" s="45" t="s">
        <v>345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Dados'!V38:W92,2,0),"")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313</v>
      </c>
      <c r="N39" s="18" t="s">
        <v>553</v>
      </c>
      <c r="O39" s="18">
        <v>300</v>
      </c>
      <c r="P39" s="18">
        <v>0</v>
      </c>
      <c r="Q39" s="45" t="s">
        <v>346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Dados'!V39:W93,2,0),"")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325</v>
      </c>
      <c r="M40" s="18" t="s">
        <v>310</v>
      </c>
      <c r="N40" s="18" t="s">
        <v>553</v>
      </c>
      <c r="O40" s="18">
        <v>10</v>
      </c>
      <c r="P40" s="18">
        <v>0</v>
      </c>
      <c r="Q40" s="45" t="s">
        <v>333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Dados'!V40:W94,2,0),"")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313</v>
      </c>
      <c r="N41" s="18" t="s">
        <v>553</v>
      </c>
      <c r="O41" s="18">
        <v>60</v>
      </c>
      <c r="P41" s="18">
        <v>0</v>
      </c>
      <c r="Q41" s="45" t="s">
        <v>347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Dados'!V41:W95,2,0),"")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310</v>
      </c>
      <c r="N42" s="18" t="s">
        <v>553</v>
      </c>
      <c r="O42" s="18">
        <v>7</v>
      </c>
      <c r="P42" s="18">
        <v>0</v>
      </c>
      <c r="Q42" s="45" t="s">
        <v>333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Dados'!V42:W96,2,0),"")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313</v>
      </c>
      <c r="N43" s="18" t="s">
        <v>553</v>
      </c>
      <c r="O43" s="18">
        <v>20</v>
      </c>
      <c r="P43" s="18">
        <v>0</v>
      </c>
      <c r="Q43" s="45" t="s">
        <v>348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Dados'!V43:W97,2,0),"")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313</v>
      </c>
      <c r="N44" s="18" t="s">
        <v>553</v>
      </c>
      <c r="O44" s="18">
        <v>55</v>
      </c>
      <c r="P44" s="18">
        <v>0</v>
      </c>
      <c r="Q44" s="45" t="s">
        <v>349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Dados'!V44:W98,2,0),"")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313</v>
      </c>
      <c r="N45" s="18" t="s">
        <v>553</v>
      </c>
      <c r="O45" s="18">
        <v>20</v>
      </c>
      <c r="P45" s="18">
        <v>0</v>
      </c>
      <c r="Q45" s="45" t="s">
        <v>350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Dados'!V45:W99,2,0),"")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313</v>
      </c>
      <c r="N46" s="18" t="s">
        <v>553</v>
      </c>
      <c r="O46" s="18">
        <v>20</v>
      </c>
      <c r="P46" s="18">
        <v>0</v>
      </c>
      <c r="Q46" s="45" t="s">
        <v>351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Dados'!V46:W100,2,0),"")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313</v>
      </c>
      <c r="N47" s="18" t="s">
        <v>553</v>
      </c>
      <c r="O47" s="18">
        <v>5</v>
      </c>
      <c r="P47" s="18">
        <v>0</v>
      </c>
      <c r="Q47" s="45" t="s">
        <v>352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Dados'!V47:W101,2,0),"")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313</v>
      </c>
      <c r="N48" s="18" t="s">
        <v>553</v>
      </c>
      <c r="O48" s="18">
        <v>30</v>
      </c>
      <c r="P48" s="18">
        <v>0</v>
      </c>
      <c r="Q48" s="45" t="s">
        <v>353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Dados'!V48:W102,2,0),"")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313</v>
      </c>
      <c r="N49" s="18" t="s">
        <v>553</v>
      </c>
      <c r="O49" s="18">
        <v>40</v>
      </c>
      <c r="P49" s="18">
        <v>0</v>
      </c>
      <c r="Q49" s="45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Dados'!V49:W103,2,0),"")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310</v>
      </c>
      <c r="N50" s="18" t="s">
        <v>553</v>
      </c>
      <c r="O50" s="18">
        <v>25</v>
      </c>
      <c r="P50" s="18">
        <v>0</v>
      </c>
      <c r="Q50" s="45" t="s">
        <v>354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Dados'!V50:W104,2,0),"")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310</v>
      </c>
      <c r="N51" s="18" t="s">
        <v>553</v>
      </c>
      <c r="O51" s="18">
        <v>20</v>
      </c>
      <c r="P51" s="18">
        <v>0</v>
      </c>
      <c r="Q51" s="45" t="s">
        <v>355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Dados'!V51:W105,2,0),"")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313</v>
      </c>
      <c r="N52" s="18" t="s">
        <v>553</v>
      </c>
      <c r="O52" s="18">
        <v>45</v>
      </c>
      <c r="P52" s="18">
        <v>0</v>
      </c>
      <c r="Q52" s="45" t="s">
        <v>348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Dados'!V52:W106,2,0),"")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313</v>
      </c>
      <c r="N53" s="18" t="s">
        <v>553</v>
      </c>
      <c r="O53" s="18">
        <v>60</v>
      </c>
      <c r="P53" s="18">
        <v>0</v>
      </c>
      <c r="Q53" s="45" t="s">
        <v>356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Dados'!V55:W107,2,0),"")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313</v>
      </c>
      <c r="N54" s="18" t="s">
        <v>553</v>
      </c>
      <c r="O54" s="18">
        <v>225</v>
      </c>
      <c r="P54" s="18">
        <v>0</v>
      </c>
      <c r="Q54" s="45" t="s">
        <v>357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Dados'!V53:W108,2,0),"")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310</v>
      </c>
      <c r="N55" s="18" t="s">
        <v>553</v>
      </c>
      <c r="O55" s="18">
        <v>5</v>
      </c>
      <c r="P55" s="18">
        <v>0</v>
      </c>
      <c r="Q55" s="45" t="s">
        <v>333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Dados'!V54:W109,2,0),"")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310</v>
      </c>
      <c r="N56" s="18" t="s">
        <v>553</v>
      </c>
      <c r="O56" s="18">
        <v>20</v>
      </c>
      <c r="P56" s="18">
        <v>0</v>
      </c>
      <c r="Q56" s="45" t="s">
        <v>358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Dados'!V58:W110,2,0),"")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313</v>
      </c>
      <c r="N57" s="18" t="s">
        <v>553</v>
      </c>
      <c r="O57" s="18">
        <v>20</v>
      </c>
      <c r="P57" s="18">
        <v>0</v>
      </c>
      <c r="Q57" s="45" t="s">
        <v>359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Dados'!V59:W111,2,0),"")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x14ac:dyDescent="0.25">
      <c r="A58" s="22" t="s">
        <v>325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360</v>
      </c>
      <c r="M58" s="18" t="s">
        <v>313</v>
      </c>
      <c r="N58" s="18" t="s">
        <v>553</v>
      </c>
      <c r="O58" s="18">
        <v>8</v>
      </c>
      <c r="P58" s="18">
        <v>0</v>
      </c>
      <c r="Q58" s="45" t="s">
        <v>361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Dados'!V60:W112,2,0),"")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x14ac:dyDescent="0.25">
      <c r="A59" s="22" t="s">
        <v>325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313</v>
      </c>
      <c r="N59" s="18" t="s">
        <v>553</v>
      </c>
      <c r="O59" s="18">
        <v>25</v>
      </c>
      <c r="P59" s="18">
        <v>0</v>
      </c>
      <c r="Q59" s="45" t="s">
        <v>362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Dados'!V61:W113,2,0),"")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x14ac:dyDescent="0.25">
      <c r="A60" s="22" t="s">
        <v>325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363</v>
      </c>
      <c r="M60" s="18" t="s">
        <v>313</v>
      </c>
      <c r="N60" s="18" t="s">
        <v>553</v>
      </c>
      <c r="O60" s="18">
        <v>10</v>
      </c>
      <c r="P60" s="18">
        <v>0</v>
      </c>
      <c r="Q60" s="45" t="s">
        <v>351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Dados'!V62:W114,2,0),"")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313</v>
      </c>
      <c r="N61" s="18" t="s">
        <v>553</v>
      </c>
      <c r="O61" s="18">
        <v>56</v>
      </c>
      <c r="P61" s="18">
        <v>0</v>
      </c>
      <c r="Q61" s="45" t="s">
        <v>356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Dados'!V63:W115,2,0),"")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313</v>
      </c>
      <c r="N62" s="18" t="s">
        <v>553</v>
      </c>
      <c r="O62" s="18">
        <v>87</v>
      </c>
      <c r="P62" s="18">
        <v>0</v>
      </c>
      <c r="Q62" s="45" t="s">
        <v>364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Dados'!V64:W116,2,0),"")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365</v>
      </c>
      <c r="M63" s="18" t="s">
        <v>313</v>
      </c>
      <c r="N63" s="18" t="s">
        <v>553</v>
      </c>
      <c r="O63" s="18">
        <v>18</v>
      </c>
      <c r="P63" s="18">
        <v>0</v>
      </c>
      <c r="Q63" s="45" t="s">
        <v>366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Dados'!V65:W117,2,0),"")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313</v>
      </c>
      <c r="N64" s="18" t="s">
        <v>553</v>
      </c>
      <c r="O64" s="18">
        <v>170</v>
      </c>
      <c r="P64" s="18">
        <v>0</v>
      </c>
      <c r="Q64" s="45" t="s">
        <v>367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Dados'!V66:W118,2,0),"")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365</v>
      </c>
      <c r="M65" s="18" t="s">
        <v>310</v>
      </c>
      <c r="N65" s="18" t="s">
        <v>553</v>
      </c>
      <c r="O65" s="18">
        <v>25</v>
      </c>
      <c r="P65" s="18">
        <v>0</v>
      </c>
      <c r="Q65" s="45" t="s">
        <v>368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Dados'!V67:W119,2,0),"")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313</v>
      </c>
      <c r="N66" s="18" t="s">
        <v>553</v>
      </c>
      <c r="O66" s="18">
        <v>40</v>
      </c>
      <c r="P66" s="18">
        <v>0</v>
      </c>
      <c r="Q66" s="45" t="s">
        <v>370</v>
      </c>
      <c r="R66" s="18" t="s">
        <v>369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Dados'!V68:W120,2,0),"")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310</v>
      </c>
      <c r="N67" s="18" t="s">
        <v>553</v>
      </c>
      <c r="O67" s="18">
        <v>90</v>
      </c>
      <c r="P67" s="18">
        <v>0</v>
      </c>
      <c r="Q67" s="45" t="s">
        <v>371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Dados'!V69:W121,2,0),"")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310</v>
      </c>
      <c r="N68" s="18" t="s">
        <v>553</v>
      </c>
      <c r="O68" s="18">
        <v>0</v>
      </c>
      <c r="P68" s="18">
        <v>10</v>
      </c>
      <c r="Q68" s="45" t="s">
        <v>372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Dados'!V70:W122,2,0),"")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313</v>
      </c>
      <c r="N69" s="18" t="s">
        <v>553</v>
      </c>
      <c r="O69" s="18">
        <v>50</v>
      </c>
      <c r="P69" s="18">
        <v>0</v>
      </c>
      <c r="Q69" s="45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Dados'!V71:W123,2,0),"")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313</v>
      </c>
      <c r="N70" s="18" t="s">
        <v>553</v>
      </c>
      <c r="O70" s="18">
        <v>82</v>
      </c>
      <c r="P70" s="18">
        <v>0</v>
      </c>
      <c r="Q70" s="45" t="s">
        <v>373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Dados'!V72:W124,2,0),"")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313</v>
      </c>
      <c r="N71" s="18" t="s">
        <v>553</v>
      </c>
      <c r="O71" s="18">
        <v>57</v>
      </c>
      <c r="P71" s="18">
        <v>0</v>
      </c>
      <c r="Q71" s="45" t="s">
        <v>374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Dados'!V73:W125,2,0),"")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313</v>
      </c>
      <c r="N72" s="18" t="s">
        <v>553</v>
      </c>
      <c r="O72" s="18">
        <v>80</v>
      </c>
      <c r="P72" s="18">
        <v>0</v>
      </c>
      <c r="Q72" s="45" t="s">
        <v>375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Dados'!V74:W126,2,0),"")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313</v>
      </c>
      <c r="N73" s="18" t="s">
        <v>553</v>
      </c>
      <c r="O73" s="18">
        <v>20</v>
      </c>
      <c r="P73" s="18">
        <v>0</v>
      </c>
      <c r="Q73" s="45" t="s">
        <v>376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Dados'!V75:W127,2,0),"")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313</v>
      </c>
      <c r="N74" s="18" t="s">
        <v>553</v>
      </c>
      <c r="O74" s="18">
        <v>20</v>
      </c>
      <c r="P74" s="18">
        <v>0</v>
      </c>
      <c r="Q74" s="45" t="s">
        <v>377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Dados'!V76:W128,2,0),"")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x14ac:dyDescent="0.25">
      <c r="A75" s="22">
        <v>12968</v>
      </c>
      <c r="B75" s="21">
        <v>44874</v>
      </c>
      <c r="C75" s="23">
        <v>15</v>
      </c>
      <c r="D75" s="24"/>
      <c r="E75" s="24"/>
      <c r="F75" s="24"/>
      <c r="G75" s="18" t="str">
        <f>IFERROR(VLOOKUP(Tabela1[[#This Row],[Mat. 1]],'Base de Dados'!$I$5:$J$21,2,0),"")</f>
        <v>ROBERT</v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>1º</v>
      </c>
      <c r="L75" s="18" t="s">
        <v>185</v>
      </c>
      <c r="M75" s="18" t="s">
        <v>313</v>
      </c>
      <c r="N75" s="18" t="s">
        <v>553</v>
      </c>
      <c r="O75" s="18">
        <v>20</v>
      </c>
      <c r="P75" s="18">
        <v>0</v>
      </c>
      <c r="Q75" s="45" t="s">
        <v>378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Dados'!V77:W129,2,0),"")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313</v>
      </c>
      <c r="N76" s="18" t="s">
        <v>553</v>
      </c>
      <c r="O76" s="18">
        <v>20</v>
      </c>
      <c r="P76" s="18">
        <v>0</v>
      </c>
      <c r="Q76" s="45" t="s">
        <v>379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Dados'!V78:W130,2,0),"")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313</v>
      </c>
      <c r="N77" s="18" t="s">
        <v>553</v>
      </c>
      <c r="O77" s="18">
        <v>53</v>
      </c>
      <c r="P77" s="18">
        <v>0</v>
      </c>
      <c r="Q77" s="45" t="s">
        <v>380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Dados'!V79:W131,2,0),"")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313</v>
      </c>
      <c r="N78" s="18" t="s">
        <v>553</v>
      </c>
      <c r="O78" s="18">
        <v>48</v>
      </c>
      <c r="P78" s="18">
        <v>0</v>
      </c>
      <c r="Q78" s="45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Dados'!V80:W132,2,0),"")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313</v>
      </c>
      <c r="N79" s="18" t="s">
        <v>553</v>
      </c>
      <c r="O79" s="18">
        <v>13</v>
      </c>
      <c r="P79" s="18">
        <v>0</v>
      </c>
      <c r="Q79" s="45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Dados'!V81:W133,2,0),"")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313</v>
      </c>
      <c r="N80" s="18" t="s">
        <v>553</v>
      </c>
      <c r="O80" s="18">
        <v>150</v>
      </c>
      <c r="P80" s="18">
        <v>0</v>
      </c>
      <c r="Q80" s="45" t="s">
        <v>381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Dados'!V82:W134,2,0),"")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310</v>
      </c>
      <c r="N81" s="18" t="s">
        <v>553</v>
      </c>
      <c r="O81" s="18">
        <v>4</v>
      </c>
      <c r="P81" s="18">
        <v>0</v>
      </c>
      <c r="Q81" s="45" t="s">
        <v>333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Dados'!V83:W135,2,0),"")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310</v>
      </c>
      <c r="N82" s="18" t="s">
        <v>553</v>
      </c>
      <c r="O82" s="18">
        <v>25</v>
      </c>
      <c r="P82" s="18">
        <v>0</v>
      </c>
      <c r="Q82" s="45" t="s">
        <v>382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Dados'!V84:W136,2,0),"")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360</v>
      </c>
      <c r="M83" s="18" t="s">
        <v>310</v>
      </c>
      <c r="N83" s="18" t="s">
        <v>553</v>
      </c>
      <c r="O83" s="18">
        <v>7</v>
      </c>
      <c r="P83" s="18">
        <v>0</v>
      </c>
      <c r="Q83" s="45" t="s">
        <v>383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Dados'!V85:W137,2,0),"")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310</v>
      </c>
      <c r="N84" s="18" t="s">
        <v>553</v>
      </c>
      <c r="O84" s="18">
        <v>7</v>
      </c>
      <c r="P84" s="18">
        <v>0</v>
      </c>
      <c r="Q84" s="45" t="s">
        <v>384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Dados'!V86:W138,2,0),"")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313</v>
      </c>
      <c r="N85" s="18" t="s">
        <v>553</v>
      </c>
      <c r="O85" s="18">
        <v>60</v>
      </c>
      <c r="P85" s="18">
        <v>0</v>
      </c>
      <c r="Q85" s="45" t="s">
        <v>385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Dados'!V87:W139,2,0),"")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313</v>
      </c>
      <c r="N86" s="18" t="s">
        <v>553</v>
      </c>
      <c r="O86" s="18">
        <v>60</v>
      </c>
      <c r="P86" s="18">
        <v>0</v>
      </c>
      <c r="Q86" s="45" t="s">
        <v>386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Dados'!V88:W140,2,0),"")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313</v>
      </c>
      <c r="N87" s="18" t="s">
        <v>553</v>
      </c>
      <c r="O87" s="18">
        <v>57</v>
      </c>
      <c r="P87" s="18">
        <v>0</v>
      </c>
      <c r="Q87" s="45" t="s">
        <v>387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Dados'!V89:W141,2,0),"")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313</v>
      </c>
      <c r="N88" s="18" t="s">
        <v>553</v>
      </c>
      <c r="O88" s="18">
        <v>30</v>
      </c>
      <c r="P88" s="18">
        <v>0</v>
      </c>
      <c r="Q88" s="45" t="s">
        <v>388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Dados'!V90:W142,2,0),"")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313</v>
      </c>
      <c r="N89" s="18" t="s">
        <v>553</v>
      </c>
      <c r="O89" s="18">
        <v>0</v>
      </c>
      <c r="P89" s="18">
        <v>30</v>
      </c>
      <c r="Q89" s="45" t="s">
        <v>389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Dados'!V91:W143,2,0),"")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313</v>
      </c>
      <c r="N90" s="18" t="s">
        <v>553</v>
      </c>
      <c r="O90" s="18">
        <v>0</v>
      </c>
      <c r="P90" s="18">
        <v>210</v>
      </c>
      <c r="Q90" s="45" t="s">
        <v>390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Dados'!V92:W144,2,0),"")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313</v>
      </c>
      <c r="N91" s="18" t="s">
        <v>553</v>
      </c>
      <c r="O91" s="18">
        <v>0</v>
      </c>
      <c r="P91" s="18">
        <v>60</v>
      </c>
      <c r="Q91" s="45" t="s">
        <v>391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Dados'!V93:W145,2,0),"")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310</v>
      </c>
      <c r="N92" s="18" t="s">
        <v>553</v>
      </c>
      <c r="O92" s="18">
        <v>0</v>
      </c>
      <c r="P92" s="18">
        <v>2</v>
      </c>
      <c r="Q92" s="45" t="s">
        <v>392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Dados'!V94:W146,2,0),"")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313</v>
      </c>
      <c r="N93" s="18" t="s">
        <v>553</v>
      </c>
      <c r="O93" s="18">
        <v>60</v>
      </c>
      <c r="P93" s="18">
        <v>0</v>
      </c>
      <c r="Q93" s="45" t="s">
        <v>393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Dados'!V95:W147,2,0),"")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313</v>
      </c>
      <c r="N94" s="18" t="s">
        <v>553</v>
      </c>
      <c r="O94" s="18">
        <v>35</v>
      </c>
      <c r="P94" s="18">
        <v>0</v>
      </c>
      <c r="Q94" s="45" t="s">
        <v>356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Dados'!V96:W148,2,0),"")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310</v>
      </c>
      <c r="N95" s="18" t="s">
        <v>553</v>
      </c>
      <c r="O95" s="18">
        <v>110</v>
      </c>
      <c r="P95" s="18">
        <v>0</v>
      </c>
      <c r="Q95" s="45" t="s">
        <v>394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Dados'!V97:W149,2,0),"")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313</v>
      </c>
      <c r="N96" s="18" t="s">
        <v>553</v>
      </c>
      <c r="O96" s="18">
        <v>40</v>
      </c>
      <c r="P96" s="18">
        <v>0</v>
      </c>
      <c r="Q96" s="45" t="s">
        <v>395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Dados'!V98:W150,2,0),"")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313</v>
      </c>
      <c r="N97" s="18" t="s">
        <v>553</v>
      </c>
      <c r="O97" s="18">
        <v>30</v>
      </c>
      <c r="P97" s="18">
        <v>0</v>
      </c>
      <c r="Q97" s="45" t="s">
        <v>356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Dados'!V99:W151,2,0),"")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310</v>
      </c>
      <c r="N98" s="18" t="s">
        <v>553</v>
      </c>
      <c r="O98" s="18">
        <v>48</v>
      </c>
      <c r="P98" s="18">
        <v>0</v>
      </c>
      <c r="Q98" s="45" t="s">
        <v>396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Dados'!V100:W152,2,0),"")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313</v>
      </c>
      <c r="N99" s="18" t="s">
        <v>553</v>
      </c>
      <c r="O99" s="18">
        <v>130</v>
      </c>
      <c r="P99" s="18">
        <v>0</v>
      </c>
      <c r="Q99" s="45" t="s">
        <v>356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Dados'!V101:W153,2,0),"")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397</v>
      </c>
      <c r="M100" s="18" t="s">
        <v>313</v>
      </c>
      <c r="N100" s="18" t="s">
        <v>553</v>
      </c>
      <c r="O100" s="18">
        <v>21</v>
      </c>
      <c r="P100" s="18">
        <v>0</v>
      </c>
      <c r="Q100" s="45" t="s">
        <v>398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Dados'!V102:W154,2,0),"")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360</v>
      </c>
      <c r="M101" s="18" t="s">
        <v>313</v>
      </c>
      <c r="N101" s="18" t="s">
        <v>553</v>
      </c>
      <c r="O101" s="18">
        <v>12</v>
      </c>
      <c r="P101" s="18">
        <v>0</v>
      </c>
      <c r="Q101" s="45" t="s">
        <v>399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Dados'!V103:W155,2,0),"")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313</v>
      </c>
      <c r="N102" s="18" t="s">
        <v>553</v>
      </c>
      <c r="O102" s="18">
        <v>60</v>
      </c>
      <c r="P102" s="18">
        <v>0</v>
      </c>
      <c r="Q102" s="45" t="s">
        <v>400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Dados'!V104:W156,2,0),"")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313</v>
      </c>
      <c r="N103" s="18" t="s">
        <v>553</v>
      </c>
      <c r="O103" s="18">
        <v>8</v>
      </c>
      <c r="P103" s="18">
        <v>0</v>
      </c>
      <c r="Q103" s="45" t="s">
        <v>401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Dados'!V105:W157,2,0),"")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402</v>
      </c>
      <c r="M104" s="18" t="s">
        <v>313</v>
      </c>
      <c r="N104" s="18" t="s">
        <v>553</v>
      </c>
      <c r="O104" s="18">
        <v>69</v>
      </c>
      <c r="P104" s="18">
        <v>0</v>
      </c>
      <c r="Q104" s="45" t="s">
        <v>398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Dados'!V106:W158,2,0),"")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313</v>
      </c>
      <c r="N105" s="18" t="s">
        <v>553</v>
      </c>
      <c r="O105" s="18">
        <v>34</v>
      </c>
      <c r="P105" s="18">
        <v>0</v>
      </c>
      <c r="Q105" s="45" t="s">
        <v>403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Dados'!V107:W159,2,0),"")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365</v>
      </c>
      <c r="M106" s="18" t="s">
        <v>313</v>
      </c>
      <c r="N106" s="18" t="s">
        <v>553</v>
      </c>
      <c r="O106" s="18">
        <v>80</v>
      </c>
      <c r="P106" s="18">
        <v>0</v>
      </c>
      <c r="Q106" s="45" t="s">
        <v>404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Dados'!V108:W160,2,0),"")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313</v>
      </c>
      <c r="N107" s="18" t="s">
        <v>553</v>
      </c>
      <c r="O107" s="18">
        <v>20</v>
      </c>
      <c r="P107" s="18">
        <v>0</v>
      </c>
      <c r="Q107" s="45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Dados'!V109:W161,2,0),"")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313</v>
      </c>
      <c r="N108" s="18" t="s">
        <v>553</v>
      </c>
      <c r="O108" s="18">
        <v>25</v>
      </c>
      <c r="P108" s="18">
        <v>0</v>
      </c>
      <c r="Q108" s="45" t="s">
        <v>405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Dados'!V110:W162,2,0),"")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406</v>
      </c>
      <c r="M109" s="18" t="s">
        <v>313</v>
      </c>
      <c r="N109" s="18" t="s">
        <v>553</v>
      </c>
      <c r="O109" s="18">
        <v>30</v>
      </c>
      <c r="P109" s="18">
        <v>0</v>
      </c>
      <c r="Q109" s="45" t="s">
        <v>407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Dados'!V111:W163,2,0),"")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313</v>
      </c>
      <c r="N110" s="18" t="s">
        <v>553</v>
      </c>
      <c r="O110" s="18">
        <v>60</v>
      </c>
      <c r="P110" s="18">
        <v>0</v>
      </c>
      <c r="Q110" s="45" t="s">
        <v>408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Dados'!V112:W164,2,0),"")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313</v>
      </c>
      <c r="N111" s="18" t="s">
        <v>553</v>
      </c>
      <c r="O111" s="18">
        <v>50</v>
      </c>
      <c r="P111" s="18">
        <v>0</v>
      </c>
      <c r="Q111" s="45" t="s">
        <v>409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Dados'!V113:W165,2,0),"")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310</v>
      </c>
      <c r="N112" s="18" t="s">
        <v>553</v>
      </c>
      <c r="O112" s="18">
        <v>30</v>
      </c>
      <c r="P112" s="18">
        <v>0</v>
      </c>
      <c r="Q112" s="45" t="s">
        <v>410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Dados'!V114:W166,2,0),"")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313</v>
      </c>
      <c r="N113" s="18" t="s">
        <v>553</v>
      </c>
      <c r="O113" s="18">
        <v>20</v>
      </c>
      <c r="P113" s="18">
        <v>0</v>
      </c>
      <c r="Q113" s="45" t="s">
        <v>411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Dados'!V115:W167,2,0),"")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310</v>
      </c>
      <c r="N114" s="18" t="s">
        <v>553</v>
      </c>
      <c r="O114" s="18">
        <v>10</v>
      </c>
      <c r="P114" s="18">
        <v>0</v>
      </c>
      <c r="Q114" s="45" t="s">
        <v>355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Dados'!V116:W168,2,0),"")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313</v>
      </c>
      <c r="N115" s="18" t="s">
        <v>553</v>
      </c>
      <c r="O115" s="18">
        <v>20</v>
      </c>
      <c r="P115" s="18">
        <v>0</v>
      </c>
      <c r="Q115" s="45" t="s">
        <v>412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Dados'!V117:W169,2,0),"")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310</v>
      </c>
      <c r="N116" s="18" t="s">
        <v>553</v>
      </c>
      <c r="O116" s="18">
        <v>10</v>
      </c>
      <c r="P116" s="18">
        <v>0</v>
      </c>
      <c r="Q116" s="45" t="s">
        <v>355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Dados'!V118:W170,2,0),"")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310</v>
      </c>
      <c r="N117" s="18" t="s">
        <v>553</v>
      </c>
      <c r="O117" s="18">
        <v>20</v>
      </c>
      <c r="P117" s="18">
        <v>0</v>
      </c>
      <c r="Q117" s="45" t="s">
        <v>413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Dados'!V119:W171,2,0),"")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310</v>
      </c>
      <c r="N118" s="18" t="s">
        <v>553</v>
      </c>
      <c r="O118" s="18">
        <v>40</v>
      </c>
      <c r="P118" s="18">
        <v>0</v>
      </c>
      <c r="Q118" s="45" t="s">
        <v>414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Dados'!V120:W172,2,0),"")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310</v>
      </c>
      <c r="N119" s="18" t="s">
        <v>553</v>
      </c>
      <c r="O119" s="18">
        <v>10</v>
      </c>
      <c r="P119" s="18">
        <v>0</v>
      </c>
      <c r="Q119" s="45" t="s">
        <v>333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Dados'!V121:W173,2,0),"")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310</v>
      </c>
      <c r="N120" s="18" t="s">
        <v>553</v>
      </c>
      <c r="O120" s="18">
        <v>5</v>
      </c>
      <c r="P120" s="18">
        <v>0</v>
      </c>
      <c r="Q120" s="45" t="s">
        <v>415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Dados'!V122:W174,2,0),"")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313</v>
      </c>
      <c r="N121" s="18" t="s">
        <v>553</v>
      </c>
      <c r="O121" s="18">
        <v>18</v>
      </c>
      <c r="P121" s="18">
        <v>0</v>
      </c>
      <c r="Q121" s="45" t="s">
        <v>416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Dados'!V123:W175,2,0),"")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313</v>
      </c>
      <c r="N122" s="18" t="s">
        <v>553</v>
      </c>
      <c r="O122" s="18">
        <v>50</v>
      </c>
      <c r="P122" s="18">
        <v>0</v>
      </c>
      <c r="Q122" s="45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Dados'!V124:W176,2,0),"")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310</v>
      </c>
      <c r="N123" s="18" t="s">
        <v>553</v>
      </c>
      <c r="O123" s="18">
        <v>25</v>
      </c>
      <c r="P123" s="18">
        <v>0</v>
      </c>
      <c r="Q123" s="45" t="s">
        <v>417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Dados'!V125:W177,2,0),"")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365</v>
      </c>
      <c r="M124" s="18" t="s">
        <v>313</v>
      </c>
      <c r="N124" s="18" t="s">
        <v>553</v>
      </c>
      <c r="O124" s="18">
        <v>50</v>
      </c>
      <c r="P124" s="18">
        <v>0</v>
      </c>
      <c r="Q124" s="45" t="s">
        <v>418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Dados'!V126:W178,2,0),"")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419</v>
      </c>
      <c r="M125" s="18" t="s">
        <v>310</v>
      </c>
      <c r="N125" s="18" t="s">
        <v>553</v>
      </c>
      <c r="O125" s="18">
        <v>120</v>
      </c>
      <c r="P125" s="18">
        <v>0</v>
      </c>
      <c r="Q125" s="45" t="s">
        <v>420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Dados'!V127:W179,2,0),"")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313</v>
      </c>
      <c r="N126" s="18" t="s">
        <v>553</v>
      </c>
      <c r="O126" s="18">
        <v>20</v>
      </c>
      <c r="P126" s="18">
        <v>0</v>
      </c>
      <c r="Q126" s="45" t="s">
        <v>421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Dados'!V128:W180,2,0),"")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360</v>
      </c>
      <c r="M127" s="18" t="s">
        <v>313</v>
      </c>
      <c r="N127" s="18" t="s">
        <v>553</v>
      </c>
      <c r="O127" s="18">
        <v>20</v>
      </c>
      <c r="P127" s="18">
        <v>0</v>
      </c>
      <c r="Q127" s="45" t="s">
        <v>317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Dados'!V129:W181,2,0),"")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406</v>
      </c>
      <c r="M128" s="18" t="s">
        <v>313</v>
      </c>
      <c r="N128" s="18" t="s">
        <v>553</v>
      </c>
      <c r="O128" s="18">
        <v>30</v>
      </c>
      <c r="P128" s="18">
        <v>0</v>
      </c>
      <c r="Q128" s="45" t="s">
        <v>422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Dados'!V130:W182,2,0),"")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310</v>
      </c>
      <c r="N129" s="18" t="s">
        <v>553</v>
      </c>
      <c r="O129" s="18">
        <v>25</v>
      </c>
      <c r="P129" s="18">
        <v>0</v>
      </c>
      <c r="Q129" s="45" t="s">
        <v>423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Dados'!V131:W183,2,0),"")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310</v>
      </c>
      <c r="N130" s="18" t="s">
        <v>553</v>
      </c>
      <c r="O130" s="18">
        <v>10</v>
      </c>
      <c r="P130" s="18">
        <v>0</v>
      </c>
      <c r="Q130" s="45" t="s">
        <v>355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Dados'!V132:W184,2,0),"")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313</v>
      </c>
      <c r="N131" s="18" t="s">
        <v>553</v>
      </c>
      <c r="O131" s="18">
        <v>30</v>
      </c>
      <c r="P131" s="18">
        <v>0</v>
      </c>
      <c r="Q131" s="45" t="s">
        <v>424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Dados'!V133:W185,2,0),"")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313</v>
      </c>
      <c r="N132" s="18" t="s">
        <v>553</v>
      </c>
      <c r="O132" s="18">
        <v>15</v>
      </c>
      <c r="P132" s="18">
        <v>0</v>
      </c>
      <c r="Q132" s="45" t="s">
        <v>425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Dados'!V134:W186,2,0),"")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310</v>
      </c>
      <c r="N133" s="18" t="s">
        <v>553</v>
      </c>
      <c r="O133" s="18">
        <v>17</v>
      </c>
      <c r="P133" s="18">
        <v>0</v>
      </c>
      <c r="Q133" s="45" t="s">
        <v>426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Dados'!V135:W187,2,0),"")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313</v>
      </c>
      <c r="N134" s="18" t="s">
        <v>553</v>
      </c>
      <c r="O134" s="18">
        <v>20</v>
      </c>
      <c r="P134" s="18">
        <v>0</v>
      </c>
      <c r="Q134" s="45" t="s">
        <v>427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Dados'!V136:W188,2,0),"")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313</v>
      </c>
      <c r="N135" s="18" t="s">
        <v>553</v>
      </c>
      <c r="O135" s="18">
        <v>40</v>
      </c>
      <c r="P135" s="18">
        <v>0</v>
      </c>
      <c r="Q135" s="45" t="s">
        <v>428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Dados'!V137:W189,2,0),"")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313</v>
      </c>
      <c r="N136" s="18" t="s">
        <v>553</v>
      </c>
      <c r="O136" s="18">
        <v>45</v>
      </c>
      <c r="P136" s="18">
        <v>0</v>
      </c>
      <c r="Q136" s="45" t="s">
        <v>429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Dados'!V138:W190,2,0),"")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310</v>
      </c>
      <c r="N137" s="18" t="s">
        <v>553</v>
      </c>
      <c r="O137" s="18">
        <v>30</v>
      </c>
      <c r="P137" s="18">
        <v>0</v>
      </c>
      <c r="Q137" s="45" t="s">
        <v>430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Dados'!V139:W191,2,0),"")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310</v>
      </c>
      <c r="N138" s="18" t="s">
        <v>553</v>
      </c>
      <c r="O138" s="18">
        <v>25</v>
      </c>
      <c r="P138" s="18">
        <v>0</v>
      </c>
      <c r="Q138" s="45" t="s">
        <v>431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Dados'!V140:W192,2,0),"")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313</v>
      </c>
      <c r="N139" s="18" t="s">
        <v>553</v>
      </c>
      <c r="O139" s="18">
        <v>41</v>
      </c>
      <c r="P139" s="18">
        <v>0</v>
      </c>
      <c r="Q139" s="45" t="s">
        <v>432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Dados'!V141:W193,2,0),"")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313</v>
      </c>
      <c r="N140" s="18" t="s">
        <v>553</v>
      </c>
      <c r="O140" s="18">
        <v>10</v>
      </c>
      <c r="P140" s="18">
        <v>0</v>
      </c>
      <c r="Q140" s="45" t="s">
        <v>433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Dados'!V142:W194,2,0),"")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313</v>
      </c>
      <c r="N141" s="18" t="s">
        <v>553</v>
      </c>
      <c r="O141" s="18">
        <v>20</v>
      </c>
      <c r="P141" s="18">
        <v>0</v>
      </c>
      <c r="Q141" s="45" t="s">
        <v>434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Dados'!V143:W195,2,0),"")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313</v>
      </c>
      <c r="N142" s="18" t="s">
        <v>553</v>
      </c>
      <c r="O142" s="18">
        <v>30</v>
      </c>
      <c r="P142" s="18">
        <v>0</v>
      </c>
      <c r="Q142" s="45" t="s">
        <v>435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Dados'!V144:W196,2,0),"")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313</v>
      </c>
      <c r="N143" s="18" t="s">
        <v>553</v>
      </c>
      <c r="O143" s="18">
        <v>65</v>
      </c>
      <c r="P143" s="18">
        <v>0</v>
      </c>
      <c r="Q143" s="45" t="s">
        <v>436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Dados'!V145:W197,2,0),"")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313</v>
      </c>
      <c r="N144" s="18" t="s">
        <v>553</v>
      </c>
      <c r="O144" s="18">
        <v>15</v>
      </c>
      <c r="P144" s="18">
        <v>0</v>
      </c>
      <c r="Q144" s="45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Dados'!V146:W198,2,0),"")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313</v>
      </c>
      <c r="N145" s="18" t="s">
        <v>553</v>
      </c>
      <c r="O145" s="18">
        <v>35</v>
      </c>
      <c r="P145" s="18">
        <v>0</v>
      </c>
      <c r="Q145" s="45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Dados'!V147:W199,2,0),"")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313</v>
      </c>
      <c r="N146" s="18" t="s">
        <v>553</v>
      </c>
      <c r="O146" s="18">
        <v>20</v>
      </c>
      <c r="P146" s="18">
        <v>0</v>
      </c>
      <c r="Q146" s="45" t="s">
        <v>437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Dados'!V148:W200,2,0),"")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310</v>
      </c>
      <c r="N147" s="18" t="s">
        <v>553</v>
      </c>
      <c r="O147" s="18">
        <v>15</v>
      </c>
      <c r="P147" s="18">
        <v>0</v>
      </c>
      <c r="Q147" s="45" t="s">
        <v>438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Dados'!V149:W201,2,0),"")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313</v>
      </c>
      <c r="N148" s="18" t="s">
        <v>553</v>
      </c>
      <c r="O148" s="18">
        <v>30</v>
      </c>
      <c r="P148" s="18">
        <v>0</v>
      </c>
      <c r="Q148" s="45" t="s">
        <v>439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Dados'!V150:W202,2,0),"")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310</v>
      </c>
      <c r="N149" s="18" t="s">
        <v>553</v>
      </c>
      <c r="O149" s="18">
        <v>60</v>
      </c>
      <c r="P149" s="18">
        <v>0</v>
      </c>
      <c r="Q149" s="45" t="s">
        <v>440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Dados'!V151:W203,2,0),"")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313</v>
      </c>
      <c r="N150" s="18" t="s">
        <v>553</v>
      </c>
      <c r="O150" s="18">
        <v>200</v>
      </c>
      <c r="P150" s="18">
        <v>0</v>
      </c>
      <c r="Q150" s="45" t="s">
        <v>441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Dados'!V152:W204,2,0),"")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310</v>
      </c>
      <c r="N151" s="18" t="s">
        <v>553</v>
      </c>
      <c r="O151" s="18">
        <v>70</v>
      </c>
      <c r="P151" s="18">
        <v>0</v>
      </c>
      <c r="Q151" s="45" t="s">
        <v>442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Dados'!V153:W205,2,0),"")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310</v>
      </c>
      <c r="N152" s="18" t="s">
        <v>553</v>
      </c>
      <c r="O152" s="18">
        <v>60</v>
      </c>
      <c r="P152" s="18">
        <v>0</v>
      </c>
      <c r="Q152" s="45" t="s">
        <v>443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Dados'!V154:W206,2,0),"")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313</v>
      </c>
      <c r="N153" s="18" t="s">
        <v>553</v>
      </c>
      <c r="O153" s="18">
        <v>12</v>
      </c>
      <c r="P153" s="18">
        <v>0</v>
      </c>
      <c r="Q153" s="45" t="s">
        <v>444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Dados'!V155:W207,2,0),"")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313</v>
      </c>
      <c r="N154" s="18" t="s">
        <v>553</v>
      </c>
      <c r="O154" s="18">
        <v>40</v>
      </c>
      <c r="P154" s="18">
        <v>0</v>
      </c>
      <c r="Q154" s="45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Dados'!V156:W208,2,0),"")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313</v>
      </c>
      <c r="N155" s="18" t="s">
        <v>553</v>
      </c>
      <c r="O155" s="18">
        <v>10</v>
      </c>
      <c r="P155" s="18">
        <v>0</v>
      </c>
      <c r="Q155" s="45" t="s">
        <v>351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Dados'!V157:W209,2,0),"")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313</v>
      </c>
      <c r="N156" s="18" t="s">
        <v>553</v>
      </c>
      <c r="O156" s="18">
        <v>30</v>
      </c>
      <c r="P156" s="18">
        <v>0</v>
      </c>
      <c r="Q156" s="45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Dados'!V158:W210,2,0),"")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310</v>
      </c>
      <c r="N157" s="18" t="s">
        <v>553</v>
      </c>
      <c r="O157" s="18">
        <v>3</v>
      </c>
      <c r="P157" s="18">
        <v>0</v>
      </c>
      <c r="Q157" s="45" t="s">
        <v>415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Dados'!V159:W211,2,0),"")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310</v>
      </c>
      <c r="N158" s="18" t="s">
        <v>553</v>
      </c>
      <c r="O158" s="18">
        <v>25</v>
      </c>
      <c r="P158" s="18">
        <v>0</v>
      </c>
      <c r="Q158" s="45" t="s">
        <v>445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Dados'!V160:W212,2,0),"")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446</v>
      </c>
      <c r="M159" s="18" t="s">
        <v>310</v>
      </c>
      <c r="N159" s="18" t="s">
        <v>553</v>
      </c>
      <c r="O159" s="18">
        <v>22</v>
      </c>
      <c r="P159" s="18">
        <v>0</v>
      </c>
      <c r="Q159" s="45" t="s">
        <v>447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Dados'!V161:W213,2,0),"")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310</v>
      </c>
      <c r="N160" s="18" t="s">
        <v>553</v>
      </c>
      <c r="O160" s="18">
        <v>15</v>
      </c>
      <c r="P160" s="18">
        <v>0</v>
      </c>
      <c r="Q160" s="45" t="s">
        <v>448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Dados'!V162:W214,2,0),"")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313</v>
      </c>
      <c r="N161" s="18" t="s">
        <v>553</v>
      </c>
      <c r="O161" s="18">
        <v>20</v>
      </c>
      <c r="P161" s="18">
        <v>0</v>
      </c>
      <c r="Q161" s="45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Dados'!V163:W215,2,0),"")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313</v>
      </c>
      <c r="N162" s="18" t="s">
        <v>553</v>
      </c>
      <c r="O162" s="18">
        <v>17</v>
      </c>
      <c r="P162" s="18">
        <v>0</v>
      </c>
      <c r="Q162" s="45" t="s">
        <v>449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Dados'!V164:W216,2,0),"")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313</v>
      </c>
      <c r="N163" s="18" t="s">
        <v>553</v>
      </c>
      <c r="O163" s="18">
        <v>30</v>
      </c>
      <c r="P163" s="18">
        <v>0</v>
      </c>
      <c r="Q163" s="45" t="s">
        <v>450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Dados'!V165:W217,2,0),"")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313</v>
      </c>
      <c r="N164" s="18" t="s">
        <v>553</v>
      </c>
      <c r="O164" s="18">
        <v>50</v>
      </c>
      <c r="P164" s="18">
        <v>0</v>
      </c>
      <c r="Q164" s="45" t="s">
        <v>451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Dados'!V166:W218,2,0),"")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313</v>
      </c>
      <c r="N165" s="18" t="s">
        <v>553</v>
      </c>
      <c r="O165" s="18">
        <v>19</v>
      </c>
      <c r="P165" s="18">
        <v>0</v>
      </c>
      <c r="Q165" s="45" t="s">
        <v>344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Dados'!V167:W219,2,0),"")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313</v>
      </c>
      <c r="N166" s="18" t="s">
        <v>553</v>
      </c>
      <c r="O166" s="18">
        <v>30</v>
      </c>
      <c r="P166" s="18">
        <v>0</v>
      </c>
      <c r="Q166" s="45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Dados'!V168:W220,2,0),"")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446</v>
      </c>
      <c r="M167" s="18" t="s">
        <v>313</v>
      </c>
      <c r="N167" s="18" t="s">
        <v>553</v>
      </c>
      <c r="O167" s="18">
        <v>60</v>
      </c>
      <c r="P167" s="18">
        <v>0</v>
      </c>
      <c r="Q167" s="45" t="s">
        <v>452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Dados'!V169:W221,2,0),"")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313</v>
      </c>
      <c r="N168" s="18" t="s">
        <v>553</v>
      </c>
      <c r="O168" s="18">
        <v>143</v>
      </c>
      <c r="P168" s="18">
        <v>0</v>
      </c>
      <c r="Q168" s="45" t="s">
        <v>453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Dados'!V170:W222,2,0),"")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310</v>
      </c>
      <c r="N169" s="18" t="s">
        <v>553</v>
      </c>
      <c r="O169" s="18">
        <v>10</v>
      </c>
      <c r="P169" s="18">
        <v>0</v>
      </c>
      <c r="Q169" s="45" t="s">
        <v>454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Dados'!V171:W223,2,0),"")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313</v>
      </c>
      <c r="N170" s="18" t="s">
        <v>553</v>
      </c>
      <c r="O170" s="18">
        <v>12</v>
      </c>
      <c r="P170" s="18">
        <v>0</v>
      </c>
      <c r="Q170" s="45" t="s">
        <v>455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Dados'!V172:W224,2,0),"")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310</v>
      </c>
      <c r="N171" s="18" t="s">
        <v>553</v>
      </c>
      <c r="O171" s="18">
        <v>35</v>
      </c>
      <c r="P171" s="18">
        <v>0</v>
      </c>
      <c r="Q171" s="45" t="s">
        <v>329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Dados'!V173:W225,2,0),"")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456</v>
      </c>
      <c r="M172" s="18" t="s">
        <v>313</v>
      </c>
      <c r="N172" s="18" t="s">
        <v>553</v>
      </c>
      <c r="O172" s="18">
        <v>23</v>
      </c>
      <c r="P172" s="18">
        <v>0</v>
      </c>
      <c r="Q172" s="45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Dados'!V174:W226,2,0),"")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456</v>
      </c>
      <c r="M173" s="18" t="s">
        <v>313</v>
      </c>
      <c r="N173" s="18" t="s">
        <v>553</v>
      </c>
      <c r="O173" s="18">
        <v>23</v>
      </c>
      <c r="P173" s="18">
        <v>0</v>
      </c>
      <c r="Q173" s="45" t="s">
        <v>457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Dados'!V175:W227,2,0),"")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313</v>
      </c>
      <c r="N174" s="18" t="s">
        <v>553</v>
      </c>
      <c r="O174" s="18">
        <v>60</v>
      </c>
      <c r="P174" s="18">
        <v>0</v>
      </c>
      <c r="Q174" s="45" t="s">
        <v>458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Dados'!V176:W228,2,0),"")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310</v>
      </c>
      <c r="N175" s="18" t="s">
        <v>553</v>
      </c>
      <c r="O175" s="18">
        <v>20</v>
      </c>
      <c r="P175" s="18">
        <v>0</v>
      </c>
      <c r="Q175" s="45" t="s">
        <v>459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Dados'!V177:W229,2,0),"")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310</v>
      </c>
      <c r="N176" s="18" t="s">
        <v>553</v>
      </c>
      <c r="O176" s="18">
        <v>40</v>
      </c>
      <c r="P176" s="18">
        <v>0</v>
      </c>
      <c r="Q176" s="45" t="s">
        <v>460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Dados'!V178:W230,2,0),"")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310</v>
      </c>
      <c r="N177" s="18" t="s">
        <v>553</v>
      </c>
      <c r="O177" s="18">
        <v>40</v>
      </c>
      <c r="P177" s="18">
        <v>0</v>
      </c>
      <c r="Q177" s="45" t="s">
        <v>461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Dados'!V179:W231,2,0),"")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365</v>
      </c>
      <c r="M178" s="18" t="s">
        <v>313</v>
      </c>
      <c r="N178" s="18" t="s">
        <v>553</v>
      </c>
      <c r="O178" s="18">
        <v>15</v>
      </c>
      <c r="P178" s="18">
        <v>0</v>
      </c>
      <c r="Q178" s="45" t="s">
        <v>462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Dados'!V180:W232,2,0),"")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313</v>
      </c>
      <c r="N179" s="18" t="s">
        <v>553</v>
      </c>
      <c r="O179" s="18">
        <v>27</v>
      </c>
      <c r="P179" s="18">
        <v>0</v>
      </c>
      <c r="Q179" s="45" t="s">
        <v>344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Dados'!V181:W233,2,0),"")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446</v>
      </c>
      <c r="M180" s="18" t="s">
        <v>310</v>
      </c>
      <c r="N180" s="18" t="s">
        <v>553</v>
      </c>
      <c r="O180" s="18">
        <v>30</v>
      </c>
      <c r="P180" s="18">
        <v>0</v>
      </c>
      <c r="Q180" s="45" t="s">
        <v>463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Dados'!V182:W234,2,0),"")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310</v>
      </c>
      <c r="N181" s="18" t="s">
        <v>553</v>
      </c>
      <c r="O181" s="18">
        <v>50</v>
      </c>
      <c r="P181" s="18">
        <v>0</v>
      </c>
      <c r="Q181" s="45" t="s">
        <v>464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Dados'!V183:W235,2,0),"")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313</v>
      </c>
      <c r="N182" s="18" t="s">
        <v>553</v>
      </c>
      <c r="O182" s="18">
        <v>2</v>
      </c>
      <c r="P182" s="18">
        <v>0</v>
      </c>
      <c r="Q182" s="45" t="s">
        <v>465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Dados'!V184:W236,2,0),"")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325</v>
      </c>
      <c r="M183" s="18" t="s">
        <v>313</v>
      </c>
      <c r="N183" s="18" t="s">
        <v>553</v>
      </c>
      <c r="O183" s="18">
        <v>40</v>
      </c>
      <c r="P183" s="18">
        <v>0</v>
      </c>
      <c r="Q183" s="45" t="s">
        <v>466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Dados'!V185:W237,2,0),"")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467</v>
      </c>
      <c r="M184" s="18" t="s">
        <v>313</v>
      </c>
      <c r="N184" s="18" t="s">
        <v>553</v>
      </c>
      <c r="O184" s="18">
        <v>30</v>
      </c>
      <c r="P184" s="18">
        <v>0</v>
      </c>
      <c r="Q184" s="45" t="s">
        <v>468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Dados'!V186:W238,2,0),"")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310</v>
      </c>
      <c r="N185" s="18" t="s">
        <v>553</v>
      </c>
      <c r="O185" s="18">
        <v>100</v>
      </c>
      <c r="P185" s="18">
        <v>0</v>
      </c>
      <c r="Q185" s="45" t="s">
        <v>469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Dados'!V187:W239,2,0),"")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313</v>
      </c>
      <c r="N186" s="18" t="s">
        <v>553</v>
      </c>
      <c r="O186" s="18">
        <v>35</v>
      </c>
      <c r="P186" s="18">
        <v>0</v>
      </c>
      <c r="Q186" s="45" t="s">
        <v>470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Dados'!V188:W240,2,0),"")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313</v>
      </c>
      <c r="N187" s="18" t="s">
        <v>553</v>
      </c>
      <c r="O187" s="18">
        <v>20</v>
      </c>
      <c r="P187" s="18">
        <v>0</v>
      </c>
      <c r="Q187" s="45" t="s">
        <v>471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Dados'!V189:W241,2,0),"")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313</v>
      </c>
      <c r="N188" s="18" t="s">
        <v>553</v>
      </c>
      <c r="O188" s="18">
        <v>39</v>
      </c>
      <c r="P188" s="18">
        <v>0</v>
      </c>
      <c r="Q188" s="45" t="s">
        <v>472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Dados'!V190:W242,2,0),"")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313</v>
      </c>
      <c r="N189" s="18" t="s">
        <v>553</v>
      </c>
      <c r="O189" s="18">
        <v>8</v>
      </c>
      <c r="P189" s="18">
        <v>0</v>
      </c>
      <c r="Q189" s="45" t="s">
        <v>473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Dados'!V191:W243,2,0),"")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313</v>
      </c>
      <c r="N190" s="18" t="s">
        <v>553</v>
      </c>
      <c r="O190" s="18">
        <v>15</v>
      </c>
      <c r="P190" s="18">
        <v>0</v>
      </c>
      <c r="Q190" s="45" t="s">
        <v>474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Dados'!V192:W244,2,0),"")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313</v>
      </c>
      <c r="N191" s="18" t="s">
        <v>553</v>
      </c>
      <c r="O191" s="18">
        <v>40</v>
      </c>
      <c r="P191" s="18">
        <v>0</v>
      </c>
      <c r="Q191" s="45" t="s">
        <v>475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Dados'!V193:W245,2,0),"")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313</v>
      </c>
      <c r="N192" s="18" t="s">
        <v>553</v>
      </c>
      <c r="O192" s="18">
        <v>60</v>
      </c>
      <c r="P192" s="18">
        <v>0</v>
      </c>
      <c r="Q192" s="45" t="s">
        <v>476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Dados'!V194:W246,2,0),"")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310</v>
      </c>
      <c r="N193" s="18" t="s">
        <v>553</v>
      </c>
      <c r="O193" s="18">
        <v>15</v>
      </c>
      <c r="P193" s="18">
        <v>0</v>
      </c>
      <c r="Q193" s="45" t="s">
        <v>477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Dados'!V195:W247,2,0),"")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478</v>
      </c>
      <c r="M194" s="18" t="s">
        <v>310</v>
      </c>
      <c r="N194" s="18" t="s">
        <v>553</v>
      </c>
      <c r="O194" s="18">
        <v>25</v>
      </c>
      <c r="P194" s="18">
        <v>0</v>
      </c>
      <c r="Q194" s="45" t="s">
        <v>479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Dados'!V196:W248,2,0),"")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310</v>
      </c>
      <c r="N195" s="18" t="s">
        <v>553</v>
      </c>
      <c r="O195" s="18">
        <v>5</v>
      </c>
      <c r="P195" s="18">
        <v>0</v>
      </c>
      <c r="Q195" s="45" t="s">
        <v>480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Dados'!V197:W249,2,0),"")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313</v>
      </c>
      <c r="N196" s="18" t="s">
        <v>553</v>
      </c>
      <c r="O196" s="18">
        <v>80</v>
      </c>
      <c r="P196" s="18">
        <v>0</v>
      </c>
      <c r="Q196" s="45" t="s">
        <v>481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Dados'!V198:W250,2,0),"")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310</v>
      </c>
      <c r="N197" s="18" t="s">
        <v>553</v>
      </c>
      <c r="O197" s="18">
        <v>20</v>
      </c>
      <c r="P197" s="18">
        <v>0</v>
      </c>
      <c r="Q197" s="45" t="s">
        <v>329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Dados'!V199:W251,2,0),"")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310</v>
      </c>
      <c r="N198" s="18" t="s">
        <v>553</v>
      </c>
      <c r="O198" s="18">
        <v>12</v>
      </c>
      <c r="P198" s="18">
        <v>0</v>
      </c>
      <c r="Q198" s="45" t="s">
        <v>482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Dados'!V200:W252,2,0),"")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313</v>
      </c>
      <c r="N199" s="18" t="s">
        <v>553</v>
      </c>
      <c r="O199" s="18">
        <v>25</v>
      </c>
      <c r="P199" s="18">
        <v>0</v>
      </c>
      <c r="Q199" s="45" t="s">
        <v>470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Dados'!V201:W253,2,0),"")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313</v>
      </c>
      <c r="N200" s="18" t="s">
        <v>553</v>
      </c>
      <c r="O200" s="18">
        <v>60</v>
      </c>
      <c r="P200" s="18">
        <v>0</v>
      </c>
      <c r="Q200" s="45" t="s">
        <v>483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Dados'!V202:W254,2,0),"")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313</v>
      </c>
      <c r="N201" s="18" t="s">
        <v>553</v>
      </c>
      <c r="O201" s="18">
        <v>10</v>
      </c>
      <c r="P201" s="18">
        <v>0</v>
      </c>
      <c r="Q201" s="45" t="s">
        <v>484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Dados'!V203:W255,2,0),"")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313</v>
      </c>
      <c r="N202" s="18" t="s">
        <v>553</v>
      </c>
      <c r="O202" s="18">
        <v>25</v>
      </c>
      <c r="P202" s="18">
        <v>0</v>
      </c>
      <c r="Q202" s="45" t="s">
        <v>485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Dados'!V204:W256,2,0),"")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310</v>
      </c>
      <c r="N203" s="18" t="s">
        <v>553</v>
      </c>
      <c r="O203" s="18">
        <v>25</v>
      </c>
      <c r="P203" s="18">
        <v>0</v>
      </c>
      <c r="Q203" s="45" t="s">
        <v>486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Dados'!V205:W257,2,0),"")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313</v>
      </c>
      <c r="N204" s="18" t="s">
        <v>553</v>
      </c>
      <c r="O204" s="18">
        <v>15</v>
      </c>
      <c r="P204" s="18">
        <v>0</v>
      </c>
      <c r="Q204" s="45" t="s">
        <v>487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Dados'!V206:W258,2,0),"")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310</v>
      </c>
      <c r="N205" s="18" t="s">
        <v>553</v>
      </c>
      <c r="O205" s="18">
        <v>25</v>
      </c>
      <c r="P205" s="18">
        <v>0</v>
      </c>
      <c r="Q205" s="45" t="s">
        <v>415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Dados'!V207:W259,2,0),"")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310</v>
      </c>
      <c r="N206" s="18" t="s">
        <v>553</v>
      </c>
      <c r="O206" s="18">
        <v>60</v>
      </c>
      <c r="P206" s="18">
        <v>0</v>
      </c>
      <c r="Q206" s="45" t="s">
        <v>488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Dados'!V208:W260,2,0),"")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310</v>
      </c>
      <c r="N207" s="18" t="s">
        <v>553</v>
      </c>
      <c r="O207" s="18">
        <v>2</v>
      </c>
      <c r="P207" s="18">
        <v>0</v>
      </c>
      <c r="Q207" s="45" t="s">
        <v>372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Dados'!V209:W261,2,0),"")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313</v>
      </c>
      <c r="N208" s="18" t="s">
        <v>553</v>
      </c>
      <c r="O208" s="18">
        <v>20</v>
      </c>
      <c r="P208" s="18">
        <v>0</v>
      </c>
      <c r="Q208" s="45" t="s">
        <v>489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Dados'!V210:W262,2,0),"")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313</v>
      </c>
      <c r="N209" s="18" t="s">
        <v>553</v>
      </c>
      <c r="O209" s="18">
        <v>24</v>
      </c>
      <c r="P209" s="18">
        <v>0</v>
      </c>
      <c r="Q209" s="45" t="s">
        <v>490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Dados'!V211:W263,2,0),"")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313</v>
      </c>
      <c r="N210" s="18" t="s">
        <v>553</v>
      </c>
      <c r="O210" s="18">
        <v>5</v>
      </c>
      <c r="P210" s="18">
        <v>0</v>
      </c>
      <c r="Q210" s="45" t="s">
        <v>491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Dados'!V212:W264,2,0),"")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492</v>
      </c>
      <c r="M211" s="18" t="s">
        <v>310</v>
      </c>
      <c r="N211" s="18" t="s">
        <v>553</v>
      </c>
      <c r="O211" s="18">
        <v>15</v>
      </c>
      <c r="P211" s="18">
        <v>0</v>
      </c>
      <c r="Q211" s="45" t="s">
        <v>493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Dados'!V213:W265,2,0),"")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313</v>
      </c>
      <c r="N212" s="18" t="s">
        <v>553</v>
      </c>
      <c r="O212" s="18">
        <v>35</v>
      </c>
      <c r="P212" s="18">
        <v>0</v>
      </c>
      <c r="Q212" s="45" t="s">
        <v>356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Dados'!V214:W266,2,0),"")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494</v>
      </c>
      <c r="M213" s="18" t="s">
        <v>313</v>
      </c>
      <c r="N213" s="18" t="s">
        <v>553</v>
      </c>
      <c r="O213" s="18">
        <v>13</v>
      </c>
      <c r="P213" s="18">
        <v>0</v>
      </c>
      <c r="Q213" s="45" t="s">
        <v>495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Dados'!V215:W267,2,0),"")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313</v>
      </c>
      <c r="N214" s="18" t="s">
        <v>553</v>
      </c>
      <c r="O214" s="18">
        <v>30</v>
      </c>
      <c r="P214" s="18">
        <v>0</v>
      </c>
      <c r="Q214" s="45" t="s">
        <v>496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Dados'!V216:W268,2,0),"")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402</v>
      </c>
      <c r="M215" s="18" t="s">
        <v>313</v>
      </c>
      <c r="N215" s="18" t="s">
        <v>553</v>
      </c>
      <c r="O215" s="18">
        <v>10</v>
      </c>
      <c r="P215" s="18">
        <v>0</v>
      </c>
      <c r="Q215" s="45" t="s">
        <v>317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Dados'!V217:W269,2,0),"")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310</v>
      </c>
      <c r="N216" s="18" t="s">
        <v>553</v>
      </c>
      <c r="O216" s="18">
        <v>4</v>
      </c>
      <c r="P216" s="18">
        <v>0</v>
      </c>
      <c r="Q216" s="45" t="s">
        <v>355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Dados'!V218:W270,2,0),"")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313</v>
      </c>
      <c r="N217" s="18" t="s">
        <v>553</v>
      </c>
      <c r="O217" s="18">
        <v>25</v>
      </c>
      <c r="P217" s="18">
        <v>0</v>
      </c>
      <c r="Q217" s="45" t="s">
        <v>497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Dados'!V219:W271,2,0),"")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313</v>
      </c>
      <c r="N218" s="18" t="s">
        <v>553</v>
      </c>
      <c r="O218" s="18">
        <v>37</v>
      </c>
      <c r="P218" s="18">
        <v>0</v>
      </c>
      <c r="Q218" s="45" t="s">
        <v>498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Dados'!V220:W272,2,0),"")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313</v>
      </c>
      <c r="N219" s="18" t="s">
        <v>553</v>
      </c>
      <c r="O219" s="18">
        <v>30</v>
      </c>
      <c r="P219" s="18">
        <v>0</v>
      </c>
      <c r="Q219" s="45" t="s">
        <v>499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Dados'!V221:W273,2,0),"")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310</v>
      </c>
      <c r="N220" s="18" t="s">
        <v>553</v>
      </c>
      <c r="O220" s="18">
        <v>8</v>
      </c>
      <c r="P220" s="18">
        <v>0</v>
      </c>
      <c r="Q220" s="45" t="s">
        <v>329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Dados'!V222:W274,2,0),"")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313</v>
      </c>
      <c r="N221" s="18" t="s">
        <v>553</v>
      </c>
      <c r="O221" s="18">
        <v>25</v>
      </c>
      <c r="P221" s="18">
        <v>0</v>
      </c>
      <c r="Q221" s="45" t="s">
        <v>321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Dados'!V223:W275,2,0),"")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492</v>
      </c>
      <c r="M222" s="18" t="s">
        <v>313</v>
      </c>
      <c r="N222" s="18" t="s">
        <v>553</v>
      </c>
      <c r="O222" s="18">
        <v>90</v>
      </c>
      <c r="P222" s="18">
        <v>0</v>
      </c>
      <c r="Q222" s="45" t="s">
        <v>500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Dados'!V224:W276,2,0),"")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310</v>
      </c>
      <c r="N223" s="18" t="s">
        <v>553</v>
      </c>
      <c r="O223" s="18">
        <v>5</v>
      </c>
      <c r="P223" s="18">
        <v>0</v>
      </c>
      <c r="Q223" s="45" t="s">
        <v>415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Dados'!V225:W277,2,0),"")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313</v>
      </c>
      <c r="N224" s="18" t="s">
        <v>553</v>
      </c>
      <c r="O224" s="18">
        <v>23</v>
      </c>
      <c r="P224" s="18">
        <v>0</v>
      </c>
      <c r="Q224" s="45" t="s">
        <v>470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Dados'!V226:W278,2,0),"")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402</v>
      </c>
      <c r="M225" s="18" t="s">
        <v>313</v>
      </c>
      <c r="N225" s="18" t="s">
        <v>553</v>
      </c>
      <c r="O225" s="18">
        <v>12</v>
      </c>
      <c r="P225" s="18">
        <v>0</v>
      </c>
      <c r="Q225" s="45" t="s">
        <v>351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Dados'!V227:W279,2,0),"")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446</v>
      </c>
      <c r="M226" s="18" t="s">
        <v>310</v>
      </c>
      <c r="N226" s="18" t="s">
        <v>553</v>
      </c>
      <c r="O226" s="18">
        <v>40</v>
      </c>
      <c r="P226" s="18">
        <v>0</v>
      </c>
      <c r="Q226" s="45" t="s">
        <v>501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Dados'!V228:W280,2,0),"")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313</v>
      </c>
      <c r="N227" s="18" t="s">
        <v>553</v>
      </c>
      <c r="O227" s="18">
        <v>170</v>
      </c>
      <c r="P227" s="18">
        <v>0</v>
      </c>
      <c r="Q227" s="45" t="s">
        <v>502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Dados'!V229:W281,2,0),"")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313</v>
      </c>
      <c r="N228" s="18" t="s">
        <v>553</v>
      </c>
      <c r="O228" s="18">
        <v>2</v>
      </c>
      <c r="P228" s="18">
        <v>0</v>
      </c>
      <c r="Q228" s="45" t="s">
        <v>503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Dados'!V230:W282,2,0),"")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313</v>
      </c>
      <c r="N229" s="18" t="s">
        <v>553</v>
      </c>
      <c r="O229" s="18">
        <v>30</v>
      </c>
      <c r="P229" s="18">
        <v>0</v>
      </c>
      <c r="Q229" s="45" t="s">
        <v>468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Dados'!V231:W283,2,0),"")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313</v>
      </c>
      <c r="N230" s="18" t="s">
        <v>553</v>
      </c>
      <c r="O230" s="18">
        <v>187</v>
      </c>
      <c r="P230" s="18">
        <v>0</v>
      </c>
      <c r="Q230" s="45" t="s">
        <v>504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Dados'!V232:W284,2,0),"")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313</v>
      </c>
      <c r="N231" s="18" t="s">
        <v>553</v>
      </c>
      <c r="O231" s="18">
        <v>15</v>
      </c>
      <c r="P231" s="18">
        <v>0</v>
      </c>
      <c r="Q231" s="45" t="s">
        <v>505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Dados'!V233:W285,2,0),"")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506</v>
      </c>
      <c r="M232" s="18" t="s">
        <v>313</v>
      </c>
      <c r="N232" s="18" t="s">
        <v>553</v>
      </c>
      <c r="O232" s="18">
        <v>140</v>
      </c>
      <c r="P232" s="18">
        <v>0</v>
      </c>
      <c r="Q232" s="45" t="s">
        <v>507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Dados'!V234:W286,2,0),"")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310</v>
      </c>
      <c r="N233" s="18" t="s">
        <v>553</v>
      </c>
      <c r="O233" s="18">
        <v>20</v>
      </c>
      <c r="P233" s="18">
        <v>0</v>
      </c>
      <c r="Q233" s="45" t="s">
        <v>508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Dados'!V235:W287,2,0),"")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313</v>
      </c>
      <c r="N234" s="18" t="s">
        <v>553</v>
      </c>
      <c r="O234" s="18">
        <v>55</v>
      </c>
      <c r="P234" s="18">
        <v>0</v>
      </c>
      <c r="Q234" s="45" t="s">
        <v>509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Dados'!V236:W288,2,0),"")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313</v>
      </c>
      <c r="N235" s="18" t="s">
        <v>553</v>
      </c>
      <c r="O235" s="18">
        <v>7</v>
      </c>
      <c r="P235" s="18">
        <v>0</v>
      </c>
      <c r="Q235" s="45" t="s">
        <v>510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Dados'!V237:W289,2,0),"")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511</v>
      </c>
      <c r="M236" s="18" t="s">
        <v>310</v>
      </c>
      <c r="N236" s="18" t="s">
        <v>553</v>
      </c>
      <c r="O236" s="18">
        <v>40</v>
      </c>
      <c r="P236" s="18">
        <v>0</v>
      </c>
      <c r="Q236" s="45" t="s">
        <v>512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Dados'!V238:W290,2,0),"")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313</v>
      </c>
      <c r="N237" s="18" t="s">
        <v>553</v>
      </c>
      <c r="O237" s="18">
        <v>60</v>
      </c>
      <c r="P237" s="18">
        <v>0</v>
      </c>
      <c r="Q237" s="45" t="s">
        <v>513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Dados'!V239:W291,2,0),"")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514</v>
      </c>
      <c r="M238" s="18" t="s">
        <v>313</v>
      </c>
      <c r="N238" s="18" t="s">
        <v>553</v>
      </c>
      <c r="O238" s="18">
        <v>7</v>
      </c>
      <c r="P238" s="18">
        <v>0</v>
      </c>
      <c r="Q238" s="45" t="s">
        <v>515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Dados'!V240:W292,2,0),"")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313</v>
      </c>
      <c r="N239" s="18" t="s">
        <v>553</v>
      </c>
      <c r="O239" s="18">
        <v>13</v>
      </c>
      <c r="P239" s="18">
        <v>0</v>
      </c>
      <c r="Q239" s="45" t="s">
        <v>516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Dados'!V241:W293,2,0),"")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310</v>
      </c>
      <c r="N240" s="18" t="s">
        <v>553</v>
      </c>
      <c r="O240" s="18">
        <v>14</v>
      </c>
      <c r="P240" s="18">
        <v>0</v>
      </c>
      <c r="Q240" s="45" t="s">
        <v>517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Dados'!V242:W294,2,0),"")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402</v>
      </c>
      <c r="M241" s="18" t="s">
        <v>310</v>
      </c>
      <c r="N241" s="18" t="s">
        <v>553</v>
      </c>
      <c r="O241" s="18">
        <v>17</v>
      </c>
      <c r="P241" s="18">
        <v>0</v>
      </c>
      <c r="Q241" s="45" t="s">
        <v>518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Dados'!V243:W295,2,0),"")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365</v>
      </c>
      <c r="M242" s="18" t="s">
        <v>313</v>
      </c>
      <c r="N242" s="18" t="s">
        <v>553</v>
      </c>
      <c r="O242" s="18">
        <v>7</v>
      </c>
      <c r="P242" s="18">
        <v>0</v>
      </c>
      <c r="Q242" s="45" t="s">
        <v>519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Dados'!V244:W296,2,0),"")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520</v>
      </c>
      <c r="M243" s="18" t="s">
        <v>310</v>
      </c>
      <c r="N243" s="18" t="s">
        <v>553</v>
      </c>
      <c r="O243" s="18">
        <v>10</v>
      </c>
      <c r="P243" s="18">
        <v>0</v>
      </c>
      <c r="Q243" s="45" t="s">
        <v>521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Dados'!V245:W297,2,0),"")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419</v>
      </c>
      <c r="M244" s="18" t="s">
        <v>313</v>
      </c>
      <c r="N244" s="18" t="s">
        <v>553</v>
      </c>
      <c r="O244" s="18">
        <v>15</v>
      </c>
      <c r="P244" s="18">
        <v>0</v>
      </c>
      <c r="Q244" s="45" t="s">
        <v>522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Dados'!V246:W298,2,0),"")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313</v>
      </c>
      <c r="N245" s="18" t="s">
        <v>553</v>
      </c>
      <c r="O245" s="18">
        <v>7</v>
      </c>
      <c r="P245" s="18">
        <v>0</v>
      </c>
      <c r="Q245" s="45" t="s">
        <v>523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Dados'!V247:W299,2,0),"")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313</v>
      </c>
      <c r="N246" s="18" t="s">
        <v>553</v>
      </c>
      <c r="O246" s="18">
        <v>15</v>
      </c>
      <c r="P246" s="18">
        <v>0</v>
      </c>
      <c r="Q246" s="45" t="s">
        <v>524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Dados'!V248:W300,2,0),"")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310</v>
      </c>
      <c r="N247" s="18" t="s">
        <v>553</v>
      </c>
      <c r="O247" s="18">
        <v>25</v>
      </c>
      <c r="P247" s="18">
        <v>0</v>
      </c>
      <c r="Q247" s="45" t="s">
        <v>525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Dados'!V249:W301,2,0),"")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310</v>
      </c>
      <c r="N248" s="18" t="s">
        <v>553</v>
      </c>
      <c r="O248" s="18">
        <v>15</v>
      </c>
      <c r="P248" s="18">
        <v>0</v>
      </c>
      <c r="Q248" s="45" t="s">
        <v>526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Dados'!V250:W302,2,0),"")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313</v>
      </c>
      <c r="N249" s="18" t="s">
        <v>553</v>
      </c>
      <c r="O249" s="18">
        <v>20</v>
      </c>
      <c r="P249" s="18">
        <v>0</v>
      </c>
      <c r="Q249" s="45" t="s">
        <v>527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Dados'!V251:W303,2,0),"")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313</v>
      </c>
      <c r="N250" s="18" t="s">
        <v>553</v>
      </c>
      <c r="O250" s="18">
        <v>16</v>
      </c>
      <c r="P250" s="18">
        <v>0</v>
      </c>
      <c r="Q250" s="45" t="s">
        <v>528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Dados'!V252:W304,2,0),"")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310</v>
      </c>
      <c r="N251" s="18" t="s">
        <v>553</v>
      </c>
      <c r="O251" s="18">
        <v>5</v>
      </c>
      <c r="P251" s="18">
        <v>0</v>
      </c>
      <c r="Q251" s="45" t="s">
        <v>529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Dados'!V253:W305,2,0),"")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x14ac:dyDescent="0.25">
      <c r="A252" s="43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5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Dados'!V254:W306,2,0),"")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x14ac:dyDescent="0.25">
      <c r="A253" s="43" t="s">
        <v>555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5" t="s">
        <v>556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Dados'!V255:W307,2,0),"")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  <row r="254" spans="1:24" x14ac:dyDescent="0.25">
      <c r="A254" s="43" t="s">
        <v>557</v>
      </c>
      <c r="B254" s="21">
        <v>44938</v>
      </c>
      <c r="C254" s="23">
        <v>15</v>
      </c>
      <c r="D254" s="24">
        <v>185</v>
      </c>
      <c r="E254" s="24"/>
      <c r="F254" s="24"/>
      <c r="G254" s="18" t="str">
        <f>IFERROR(VLOOKUP(Tabela1[[#This Row],[Mat. 1]],'Base de Dados'!$I$5:$J$21,2,0),"")</f>
        <v>ROBERT</v>
      </c>
      <c r="H254" s="18" t="str">
        <f>IFERROR(VLOOKUP(Tabela1[[#This Row],[Mat. 2]],'Base de Dados'!$I$5:$J$21,2,0),"")</f>
        <v>FELIPE</v>
      </c>
      <c r="I254" s="18" t="str">
        <f>IFERROR(VLOOKUP(Tabela1[[#This Row],[Mat. 3]],'Base de Dados'!$I$5:$J$21,2,0),"")</f>
        <v/>
      </c>
      <c r="J254" s="18" t="str">
        <f>IFERROR(VLOOKUP(Tabela1[[#This Row],[Mat. 4]],'Base de Dados'!$I$5:$J$21,2,0),"")</f>
        <v/>
      </c>
      <c r="K254" s="18" t="str">
        <f>IFERROR(VLOOKUP(Tabela1[[#This Row],[Mat. 1]],'Base de Dados'!$I$2:$M$21,5,0),"")</f>
        <v>1º</v>
      </c>
      <c r="L254" s="18" t="s">
        <v>240</v>
      </c>
      <c r="M254" s="18" t="s">
        <v>255</v>
      </c>
      <c r="N254" s="18" t="s">
        <v>257</v>
      </c>
      <c r="O254" s="18">
        <v>0</v>
      </c>
      <c r="P254" s="18">
        <v>15</v>
      </c>
      <c r="Q254" s="45" t="s">
        <v>558</v>
      </c>
      <c r="R254" s="18" t="s">
        <v>19</v>
      </c>
      <c r="S254" s="18" t="str">
        <f>IFERROR(VLOOKUP(Tabela1[[#This Row],[Cód. Causa]],'Base de Dados'!$O$2:$P$21,2,0),"")</f>
        <v>INFLUENCIA EXTERNA</v>
      </c>
      <c r="T254" s="18" t="str">
        <f>IFERROR(VLOOKUP(Tabela1[[#This Row],[Tag]],'Base de Dados'!$B$2:$C$64,2,0),"")</f>
        <v/>
      </c>
      <c r="U254" s="18" t="str">
        <f>IFERROR(VLOOKUP(Tabela1[[#This Row],[Tag]],'Base de Dados'!V256:W308,2,0),"")</f>
        <v/>
      </c>
      <c r="V254" s="18">
        <f>DAY(Tabela1[[#This Row],[Data]])</f>
        <v>12</v>
      </c>
      <c r="W254" s="18">
        <f>MONTH(Tabela1[[#This Row],[Data]])</f>
        <v>1</v>
      </c>
      <c r="X254" s="18">
        <f>YEAR(Tabela1[[#This Row],[Data]])</f>
        <v>2023</v>
      </c>
    </row>
    <row r="255" spans="1:24" x14ac:dyDescent="0.25">
      <c r="A255" s="43" t="s">
        <v>559</v>
      </c>
      <c r="B255" s="21">
        <v>44947</v>
      </c>
      <c r="C255" s="23">
        <v>185</v>
      </c>
      <c r="D255" s="24">
        <v>435</v>
      </c>
      <c r="E255" s="24"/>
      <c r="F255" s="24"/>
      <c r="G255" s="18" t="str">
        <f>IFERROR(VLOOKUP(Tabela1[[#This Row],[Mat. 1]],'Base de Dados'!$I$5:$J$21,2,0),"")</f>
        <v>FELIPE</v>
      </c>
      <c r="H255" s="18" t="str">
        <f>IFERROR(VLOOKUP(Tabela1[[#This Row],[Mat. 2]],'Base de Dados'!$I$5:$J$21,2,0),"")</f>
        <v>SILVIO</v>
      </c>
      <c r="I255" s="18" t="str">
        <f>IFERROR(VLOOKUP(Tabela1[[#This Row],[Mat. 3]],'Base de Dados'!$I$5:$J$21,2,0),"")</f>
        <v/>
      </c>
      <c r="J255" s="18" t="str">
        <f>IFERROR(VLOOKUP(Tabela1[[#This Row],[Mat. 4]],'Base de Dados'!$I$5:$J$21,2,0),"")</f>
        <v/>
      </c>
      <c r="K255" s="18" t="str">
        <f>IFERROR(VLOOKUP(Tabela1[[#This Row],[Mat. 1]],'Base de Dados'!$I$2:$M$21,5,0),"")</f>
        <v>1º</v>
      </c>
      <c r="L255" s="18" t="s">
        <v>240</v>
      </c>
      <c r="M255" s="18" t="s">
        <v>255</v>
      </c>
      <c r="N255" s="18" t="s">
        <v>257</v>
      </c>
      <c r="O255" s="18">
        <v>0</v>
      </c>
      <c r="P255" s="18">
        <v>30</v>
      </c>
      <c r="Q255" s="45" t="s">
        <v>257</v>
      </c>
      <c r="R255" s="18" t="s">
        <v>19</v>
      </c>
      <c r="S255" s="18" t="str">
        <f>IFERROR(VLOOKUP(Tabela1[[#This Row],[Cód. Causa]],'Base de Dados'!$O$2:$P$21,2,0),"")</f>
        <v>INFLUENCIA EXTERNA</v>
      </c>
      <c r="T255" s="18" t="str">
        <f>IFERROR(VLOOKUP(Tabela1[[#This Row],[Tag]],'Base de Dados'!$B$2:$C$64,2,0),"")</f>
        <v/>
      </c>
      <c r="U255" s="18" t="str">
        <f>IFERROR(VLOOKUP(Tabela1[[#This Row],[Tag]],'Base de Dados'!V257:W309,2,0),"")</f>
        <v/>
      </c>
      <c r="V255" s="18">
        <f>DAY(Tabela1[[#This Row],[Data]])</f>
        <v>21</v>
      </c>
      <c r="W255" s="18">
        <f>MONTH(Tabela1[[#This Row],[Data]])</f>
        <v>1</v>
      </c>
      <c r="X255" s="18">
        <f>YEAR(Tabela1[[#This Row],[Data]])</f>
        <v>2023</v>
      </c>
    </row>
    <row r="256" spans="1:24" x14ac:dyDescent="0.25">
      <c r="A256" s="43">
        <v>45898</v>
      </c>
      <c r="B256" s="21">
        <v>44613</v>
      </c>
      <c r="C256" s="23">
        <v>15</v>
      </c>
      <c r="D256" s="24">
        <v>185</v>
      </c>
      <c r="E256" s="24"/>
      <c r="F256" s="24"/>
      <c r="G256" s="18" t="str">
        <f>IFERROR(VLOOKUP(Tabela1[[#This Row],[Mat. 1]],'Base de Dados'!$I$5:$J$21,2,0),"")</f>
        <v>ROBERT</v>
      </c>
      <c r="H256" s="18" t="str">
        <f>IFERROR(VLOOKUP(Tabela1[[#This Row],[Mat. 2]],'Base de Dados'!$I$5:$J$21,2,0),"")</f>
        <v>FELIPE</v>
      </c>
      <c r="I256" s="18" t="str">
        <f>IFERROR(VLOOKUP(Tabela1[[#This Row],[Mat. 3]],'Base de Dados'!$I$5:$J$21,2,0),"")</f>
        <v/>
      </c>
      <c r="J256" s="18" t="str">
        <f>IFERROR(VLOOKUP(Tabela1[[#This Row],[Mat. 4]],'Base de Dados'!$I$5:$J$21,2,0),"")</f>
        <v/>
      </c>
      <c r="K256" s="18" t="str">
        <f>IFERROR(VLOOKUP(Tabela1[[#This Row],[Mat. 1]],'Base de Dados'!$I$2:$M$21,5,0),"")</f>
        <v>1º</v>
      </c>
      <c r="L256" s="18" t="s">
        <v>172</v>
      </c>
      <c r="M256" s="18" t="s">
        <v>255</v>
      </c>
      <c r="N256" s="18" t="s">
        <v>553</v>
      </c>
      <c r="O256" s="18">
        <v>45</v>
      </c>
      <c r="P256" s="18">
        <v>0</v>
      </c>
      <c r="Q256" s="45" t="s">
        <v>260</v>
      </c>
      <c r="R256" s="18" t="s">
        <v>116</v>
      </c>
      <c r="S256" s="18" t="str">
        <f>IFERROR(VLOOKUP(Tabela1[[#This Row],[Cód. Causa]],'Base de Dados'!$O$2:$P$21,2,0),"")</f>
        <v xml:space="preserve">EQUIPAMENTO TRABALHANDO COM CARGA EXCESSIVA </v>
      </c>
      <c r="T256" s="18" t="str">
        <f>IFERROR(VLOOKUP(Tabela1[[#This Row],[Tag]],'Base de Dados'!$B$2:$C$64,2,0),"")</f>
        <v>PRENSA DE MOLDAGEM CARPETE</v>
      </c>
      <c r="U256" s="18" t="str">
        <f>IFERROR(VLOOKUP(Tabela1[[#This Row],[Tag]],'Base de Dados'!V258:W310,2,0),"")</f>
        <v/>
      </c>
      <c r="V256" s="18">
        <f>DAY(Tabela1[[#This Row],[Data]])</f>
        <v>21</v>
      </c>
      <c r="W256" s="18">
        <f>MONTH(Tabela1[[#This Row],[Data]])</f>
        <v>2</v>
      </c>
      <c r="X256" s="18">
        <f>YEAR(Tabela1[[#This Row],[Data]])</f>
        <v>2022</v>
      </c>
    </row>
    <row r="257" spans="1:24" x14ac:dyDescent="0.25">
      <c r="A257" s="43" t="s">
        <v>560</v>
      </c>
      <c r="B257" s="21">
        <v>44613</v>
      </c>
      <c r="C257" s="23">
        <v>185</v>
      </c>
      <c r="D257" s="24">
        <v>592</v>
      </c>
      <c r="E257" s="24"/>
      <c r="F257" s="24"/>
      <c r="G257" s="18" t="str">
        <f>IFERROR(VLOOKUP(Tabela1[[#This Row],[Mat. 1]],'Base de Dados'!$I$5:$J$21,2,0),"")</f>
        <v>FELIPE</v>
      </c>
      <c r="H257" s="18" t="str">
        <f>IFERROR(VLOOKUP(Tabela1[[#This Row],[Mat. 2]],'Base de Dados'!$I$5:$J$21,2,0),"")</f>
        <v>CRISTIANO</v>
      </c>
      <c r="I257" s="18" t="str">
        <f>IFERROR(VLOOKUP(Tabela1[[#This Row],[Mat. 3]],'Base de Dados'!$I$5:$J$21,2,0),"")</f>
        <v/>
      </c>
      <c r="J257" s="18" t="str">
        <f>IFERROR(VLOOKUP(Tabela1[[#This Row],[Mat. 4]],'Base de Dados'!$I$5:$J$21,2,0),"")</f>
        <v/>
      </c>
      <c r="K257" s="18" t="str">
        <f>IFERROR(VLOOKUP(Tabela1[[#This Row],[Mat. 1]],'Base de Dados'!$I$2:$M$21,5,0),"")</f>
        <v>1º</v>
      </c>
      <c r="L257" s="18" t="s">
        <v>172</v>
      </c>
      <c r="M257" s="18" t="s">
        <v>255</v>
      </c>
      <c r="N257" s="18" t="s">
        <v>257</v>
      </c>
      <c r="O257" s="18">
        <v>0</v>
      </c>
      <c r="P257" s="18">
        <v>30</v>
      </c>
      <c r="Q257" s="45" t="s">
        <v>257</v>
      </c>
      <c r="R257" s="18" t="s">
        <v>19</v>
      </c>
      <c r="S257" s="18" t="str">
        <f>IFERROR(VLOOKUP(Tabela1[[#This Row],[Cód. Causa]],'Base de Dados'!$O$2:$P$21,2,0),"")</f>
        <v>INFLUENCIA EXTERNA</v>
      </c>
      <c r="T257" s="18" t="str">
        <f>IFERROR(VLOOKUP(Tabela1[[#This Row],[Tag]],'Base de Dados'!$B$2:$C$64,2,0),"")</f>
        <v>PRENSA DE MOLDAGEM CARPETE</v>
      </c>
      <c r="U257" s="18" t="str">
        <f>IFERROR(VLOOKUP(Tabela1[[#This Row],[Tag]],'Base de Dados'!V259:W311,2,0),"")</f>
        <v/>
      </c>
      <c r="V257" s="18">
        <f>DAY(Tabela1[[#This Row],[Data]])</f>
        <v>21</v>
      </c>
      <c r="W257" s="18">
        <f>MONTH(Tabela1[[#This Row],[Data]])</f>
        <v>2</v>
      </c>
      <c r="X257" s="18">
        <f>YEAR(Tabela1[[#This Row],[Data]])</f>
        <v>2022</v>
      </c>
    </row>
    <row r="258" spans="1:24" x14ac:dyDescent="0.25">
      <c r="A258" s="50">
        <v>12456</v>
      </c>
      <c r="B258" s="21">
        <v>44978</v>
      </c>
      <c r="C258" s="23">
        <v>15</v>
      </c>
      <c r="D258" s="24">
        <v>185</v>
      </c>
      <c r="E258" s="24"/>
      <c r="F258" s="24"/>
      <c r="G258" s="18" t="str">
        <f>IFERROR(VLOOKUP(Tabela1[[#This Row],[Mat. 1]],'Base de Dados'!$I$5:$J$21,2,0),"")</f>
        <v>ROBERT</v>
      </c>
      <c r="H258" s="18" t="str">
        <f>IFERROR(VLOOKUP(Tabela1[[#This Row],[Mat. 2]],'Base de Dados'!$I$5:$J$21,2,0),"")</f>
        <v>FELIPE</v>
      </c>
      <c r="I258" s="18" t="str">
        <f>IFERROR(VLOOKUP(Tabela1[[#This Row],[Mat. 3]],'Base de Dados'!$I$5:$J$21,2,0),"")</f>
        <v/>
      </c>
      <c r="J258" s="18" t="str">
        <f>IFERROR(VLOOKUP(Tabela1[[#This Row],[Mat. 4]],'Base de Dados'!$I$5:$J$21,2,0),"")</f>
        <v/>
      </c>
      <c r="K258" s="18" t="str">
        <f>IFERROR(VLOOKUP(Tabela1[[#This Row],[Mat. 1]],'Base de Dados'!$I$2:$M$21,5,0),"")</f>
        <v>1º</v>
      </c>
      <c r="L258" s="18" t="s">
        <v>185</v>
      </c>
      <c r="M258" s="18" t="s">
        <v>256</v>
      </c>
      <c r="N258" s="18" t="s">
        <v>258</v>
      </c>
      <c r="O258" s="18">
        <v>30</v>
      </c>
      <c r="P258" s="18">
        <v>0</v>
      </c>
      <c r="Q258" s="45" t="s">
        <v>140</v>
      </c>
      <c r="R258" s="18" t="s">
        <v>116</v>
      </c>
      <c r="S258" s="18" t="str">
        <f>IFERROR(VLOOKUP(Tabela1[[#This Row],[Cód. Causa]],'Base de Dados'!$O$2:$P$21,2,0),"")</f>
        <v xml:space="preserve">EQUIPAMENTO TRABALHANDO COM CARGA EXCESSIVA </v>
      </c>
      <c r="T258" s="18" t="str">
        <f>IFERROR(VLOOKUP(Tabela1[[#This Row],[Tag]],'Base de Dados'!$B$2:$C$64,2,0),"")</f>
        <v>CORTE DO CARPETE- WATER JET</v>
      </c>
      <c r="U258" s="18" t="str">
        <f>IFERROR(VLOOKUP(Tabela1[[#This Row],[Tag]],'Base de Dados'!V260:W312,2,0),"")</f>
        <v/>
      </c>
      <c r="V258" s="18">
        <f>DAY(Tabela1[[#This Row],[Data]])</f>
        <v>21</v>
      </c>
      <c r="W258" s="18">
        <f>MONTH(Tabela1[[#This Row],[Data]])</f>
        <v>2</v>
      </c>
      <c r="X258" s="18">
        <f>YEAR(Tabela1[[#This Row],[Data]])</f>
        <v>2023</v>
      </c>
    </row>
    <row r="259" spans="1:24" x14ac:dyDescent="0.25">
      <c r="A259" s="118">
        <v>13910</v>
      </c>
      <c r="B259" s="21">
        <v>44938</v>
      </c>
      <c r="C259" s="23">
        <v>677</v>
      </c>
      <c r="D259" s="24"/>
      <c r="E259" s="24"/>
      <c r="F259" s="24"/>
      <c r="G259" s="18" t="str">
        <f>IFERROR(VLOOKUP(Tabela1[[#This Row],[Mat. 1]],'Base de Dados'!$I$5:$J$21,2,0),"")</f>
        <v>RAFAEL</v>
      </c>
      <c r="H259" s="18" t="str">
        <f>IFERROR(VLOOKUP(Tabela1[[#This Row],[Mat. 2]],'Base de Dados'!$I$5:$J$21,2,0),"")</f>
        <v/>
      </c>
      <c r="I259" s="18" t="str">
        <f>IFERROR(VLOOKUP(Tabela1[[#This Row],[Mat. 3]],'Base de Dados'!$I$5:$J$21,2,0),"")</f>
        <v/>
      </c>
      <c r="J259" s="18" t="str">
        <f>IFERROR(VLOOKUP(Tabela1[[#This Row],[Mat. 4]],'Base de Dados'!$I$5:$J$21,2,0),"")</f>
        <v/>
      </c>
      <c r="K259" s="18" t="str">
        <f>IFERROR(VLOOKUP(Tabela1[[#This Row],[Mat. 1]],'Base de Dados'!$I$2:$M$21,5,0),"")</f>
        <v>2º</v>
      </c>
      <c r="L259" s="18" t="s">
        <v>570</v>
      </c>
      <c r="M259" s="18" t="s">
        <v>255</v>
      </c>
      <c r="N259" s="119" t="s">
        <v>553</v>
      </c>
      <c r="O259" s="119">
        <v>130</v>
      </c>
      <c r="P259" s="18">
        <v>0</v>
      </c>
      <c r="Q259" s="45" t="s">
        <v>571</v>
      </c>
      <c r="R259" s="18" t="s">
        <v>116</v>
      </c>
      <c r="S259" s="18" t="str">
        <f>IFERROR(VLOOKUP(Tabela1[[#This Row],[Cód. Causa]],'Base de Dados'!$O$2:$P$21,2,0),"")</f>
        <v xml:space="preserve">EQUIPAMENTO TRABALHANDO COM CARGA EXCESSIVA </v>
      </c>
      <c r="T259" s="18" t="str">
        <f>IFERROR(VLOOKUP(Tabela1[[#This Row],[Tag]],'Base de Dados'!$B$2:$C$64,2,0),"")</f>
        <v/>
      </c>
      <c r="U259" s="18" t="str">
        <f>IFERROR(VLOOKUP(Tabela1[[#This Row],[Tag]],'Base de Dados'!V259:W310,2,0),"")</f>
        <v/>
      </c>
      <c r="V259" s="119">
        <f>DAY(Tabela1[[#This Row],[Data]])</f>
        <v>12</v>
      </c>
      <c r="W259" s="119">
        <f>MONTH(Tabela1[[#This Row],[Data]])</f>
        <v>1</v>
      </c>
      <c r="X259" s="119">
        <f>YEAR(Tabela1[[#This Row],[Data]])</f>
        <v>2023</v>
      </c>
    </row>
    <row r="260" spans="1:24" x14ac:dyDescent="0.25">
      <c r="A260" s="118" t="s">
        <v>572</v>
      </c>
      <c r="B260" s="21">
        <v>44939</v>
      </c>
      <c r="C260" s="23">
        <v>15</v>
      </c>
      <c r="D260" s="24">
        <v>721</v>
      </c>
      <c r="E260" s="24">
        <v>877</v>
      </c>
      <c r="F260" s="24"/>
      <c r="G260" s="18" t="str">
        <f>IFERROR(VLOOKUP(Tabela1[[#This Row],[Mat. 1]],'Base de Dados'!$I$5:$J$21,2,0),"")</f>
        <v>ROBERT</v>
      </c>
      <c r="H260" s="18" t="str">
        <f>IFERROR(VLOOKUP(Tabela1[[#This Row],[Mat. 2]],'Base de Dados'!$I$5:$J$21,2,0),"")</f>
        <v>GENILSON</v>
      </c>
      <c r="I260" s="18" t="str">
        <f>IFERROR(VLOOKUP(Tabela1[[#This Row],[Mat. 3]],'Base de Dados'!$I$5:$J$21,2,0),"")</f>
        <v>RONALDO</v>
      </c>
      <c r="J260" s="18" t="str">
        <f>IFERROR(VLOOKUP(Tabela1[[#This Row],[Mat. 4]],'Base de Dados'!$I$5:$J$21,2,0),"")</f>
        <v/>
      </c>
      <c r="K260" s="18" t="str">
        <f>IFERROR(VLOOKUP(Tabela1[[#This Row],[Mat. 1]],'Base de Dados'!$I$2:$M$21,5,0),"")</f>
        <v>1º</v>
      </c>
      <c r="L260" s="18" t="s">
        <v>168</v>
      </c>
      <c r="M260" s="18" t="s">
        <v>255</v>
      </c>
      <c r="N260" s="119" t="s">
        <v>257</v>
      </c>
      <c r="O260" s="119">
        <v>0</v>
      </c>
      <c r="P260" s="18">
        <v>60</v>
      </c>
      <c r="Q260" s="45" t="s">
        <v>257</v>
      </c>
      <c r="R260" s="18" t="s">
        <v>19</v>
      </c>
      <c r="S260" s="18" t="str">
        <f>IFERROR(VLOOKUP(Tabela1[[#This Row],[Cód. Causa]],'Base de Dados'!$O$2:$P$21,2,0),"")</f>
        <v>INFLUENCIA EXTERNA</v>
      </c>
      <c r="T260" s="18" t="str">
        <f>IFERROR(VLOOKUP(Tabela1[[#This Row],[Tag]],'Base de Dados'!$B$2:$C$64,2,0),"")</f>
        <v>PRENSA CORTE TUNNEL</v>
      </c>
      <c r="U260" s="18" t="str">
        <f>IFERROR(VLOOKUP(Tabela1[[#This Row],[Tag]],'Base de Dados'!V260:W311,2,0),"")</f>
        <v/>
      </c>
      <c r="V260" s="119">
        <f>DAY(Tabela1[[#This Row],[Data]])</f>
        <v>13</v>
      </c>
      <c r="W260" s="119">
        <f>MONTH(Tabela1[[#This Row],[Data]])</f>
        <v>1</v>
      </c>
      <c r="X260" s="119">
        <f>YEAR(Tabela1[[#This Row],[Data]])</f>
        <v>2023</v>
      </c>
    </row>
    <row r="261" spans="1:24" x14ac:dyDescent="0.25">
      <c r="A261" s="118">
        <v>13927</v>
      </c>
      <c r="B261" s="21">
        <v>44942</v>
      </c>
      <c r="C261" s="23">
        <v>721</v>
      </c>
      <c r="D261" s="24"/>
      <c r="E261" s="24"/>
      <c r="F261" s="24"/>
      <c r="G261" s="18" t="str">
        <f>IFERROR(VLOOKUP(Tabela1[[#This Row],[Mat. 1]],'Base de Dados'!$I$5:$J$21,2,0),"")</f>
        <v>GENILSON</v>
      </c>
      <c r="H261" s="18" t="str">
        <f>IFERROR(VLOOKUP(Tabela1[[#This Row],[Mat. 2]],'Base de Dados'!$I$5:$J$21,2,0),"")</f>
        <v/>
      </c>
      <c r="I261" s="18" t="str">
        <f>IFERROR(VLOOKUP(Tabela1[[#This Row],[Mat. 3]],'Base de Dados'!$I$5:$J$21,2,0),"")</f>
        <v/>
      </c>
      <c r="J261" s="18" t="str">
        <f>IFERROR(VLOOKUP(Tabela1[[#This Row],[Mat. 4]],'Base de Dados'!$I$5:$J$21,2,0),"")</f>
        <v/>
      </c>
      <c r="K261" s="18" t="str">
        <f>IFERROR(VLOOKUP(Tabela1[[#This Row],[Mat. 1]],'Base de Dados'!$I$2:$M$21,5,0),"")</f>
        <v>1º</v>
      </c>
      <c r="L261" s="18" t="s">
        <v>172</v>
      </c>
      <c r="M261" s="18" t="s">
        <v>255</v>
      </c>
      <c r="N261" s="119" t="s">
        <v>553</v>
      </c>
      <c r="O261" s="119">
        <v>40</v>
      </c>
      <c r="P261" s="18">
        <v>0</v>
      </c>
      <c r="Q261" s="45" t="s">
        <v>259</v>
      </c>
      <c r="R261" s="18" t="s">
        <v>116</v>
      </c>
      <c r="S261" s="18" t="str">
        <f>IFERROR(VLOOKUP(Tabela1[[#This Row],[Cód. Causa]],'Base de Dados'!$O$2:$P$21,2,0),"")</f>
        <v xml:space="preserve">EQUIPAMENTO TRABALHANDO COM CARGA EXCESSIVA </v>
      </c>
      <c r="T261" s="18" t="str">
        <f>IFERROR(VLOOKUP(Tabela1[[#This Row],[Tag]],'Base de Dados'!$B$2:$C$64,2,0),"")</f>
        <v>PRENSA DE MOLDAGEM CARPETE</v>
      </c>
      <c r="U261" s="18" t="str">
        <f>IFERROR(VLOOKUP(Tabela1[[#This Row],[Tag]],'Base de Dados'!V261:W312,2,0),"")</f>
        <v/>
      </c>
      <c r="V261" s="119">
        <f>DAY(Tabela1[[#This Row],[Data]])</f>
        <v>16</v>
      </c>
      <c r="W261" s="119">
        <f>MONTH(Tabela1[[#This Row],[Data]])</f>
        <v>1</v>
      </c>
      <c r="X261" s="119">
        <f>YEAR(Tabela1[[#This Row],[Data]])</f>
        <v>2023</v>
      </c>
    </row>
    <row r="262" spans="1:24" x14ac:dyDescent="0.25">
      <c r="A262" s="118">
        <v>16061</v>
      </c>
      <c r="B262" s="21">
        <v>44942</v>
      </c>
      <c r="C262" s="23">
        <v>15</v>
      </c>
      <c r="D262" s="24">
        <v>721</v>
      </c>
      <c r="E262" s="24"/>
      <c r="F262" s="24"/>
      <c r="G262" s="18" t="str">
        <f>IFERROR(VLOOKUP(Tabela1[[#This Row],[Mat. 1]],'Base de Dados'!$I$5:$J$21,2,0),"")</f>
        <v>ROBERT</v>
      </c>
      <c r="H262" s="18" t="str">
        <f>IFERROR(VLOOKUP(Tabela1[[#This Row],[Mat. 2]],'Base de Dados'!$I$5:$J$21,2,0),"")</f>
        <v>GENILSON</v>
      </c>
      <c r="I262" s="18" t="str">
        <f>IFERROR(VLOOKUP(Tabela1[[#This Row],[Mat. 3]],'Base de Dados'!$I$5:$J$21,2,0),"")</f>
        <v/>
      </c>
      <c r="J262" s="18" t="str">
        <f>IFERROR(VLOOKUP(Tabela1[[#This Row],[Mat. 4]],'Base de Dados'!$I$5:$J$21,2,0),"")</f>
        <v/>
      </c>
      <c r="K262" s="18" t="str">
        <f>IFERROR(VLOOKUP(Tabela1[[#This Row],[Mat. 1]],'Base de Dados'!$I$2:$M$21,5,0),"")</f>
        <v>1º</v>
      </c>
      <c r="L262" s="18" t="s">
        <v>573</v>
      </c>
      <c r="M262" s="18" t="s">
        <v>255</v>
      </c>
      <c r="N262" s="119" t="s">
        <v>553</v>
      </c>
      <c r="O262" s="119">
        <v>28</v>
      </c>
      <c r="P262" s="18">
        <v>0</v>
      </c>
      <c r="Q262" s="45" t="s">
        <v>351</v>
      </c>
      <c r="R262" s="18" t="s">
        <v>116</v>
      </c>
      <c r="S262" s="18" t="str">
        <f>IFERROR(VLOOKUP(Tabela1[[#This Row],[Cód. Causa]],'Base de Dados'!$O$2:$P$21,2,0),"")</f>
        <v xml:space="preserve">EQUIPAMENTO TRABALHANDO COM CARGA EXCESSIVA </v>
      </c>
      <c r="T262" s="18" t="str">
        <f>IFERROR(VLOOKUP(Tabela1[[#This Row],[Tag]],'Base de Dados'!$B$2:$C$64,2,0),"")</f>
        <v/>
      </c>
      <c r="U262" s="18" t="str">
        <f>IFERROR(VLOOKUP(Tabela1[[#This Row],[Tag]],'Base de Dados'!V262:W313,2,0),"")</f>
        <v/>
      </c>
      <c r="V262" s="119">
        <f>DAY(Tabela1[[#This Row],[Data]])</f>
        <v>16</v>
      </c>
      <c r="W262" s="119">
        <f>MONTH(Tabela1[[#This Row],[Data]])</f>
        <v>1</v>
      </c>
      <c r="X262" s="119">
        <f>YEAR(Tabela1[[#This Row],[Data]])</f>
        <v>2023</v>
      </c>
    </row>
    <row r="263" spans="1:24" x14ac:dyDescent="0.25">
      <c r="A263" s="118">
        <v>16062</v>
      </c>
      <c r="B263" s="21">
        <v>44942</v>
      </c>
      <c r="C263" s="23">
        <v>15</v>
      </c>
      <c r="D263" s="24">
        <v>721</v>
      </c>
      <c r="E263" s="24"/>
      <c r="F263" s="24"/>
      <c r="G263" s="18" t="str">
        <f>IFERROR(VLOOKUP(Tabela1[[#This Row],[Mat. 1]],'Base de Dados'!$I$5:$J$21,2,0),"")</f>
        <v>ROBERT</v>
      </c>
      <c r="H263" s="18" t="str">
        <f>IFERROR(VLOOKUP(Tabela1[[#This Row],[Mat. 2]],'Base de Dados'!$I$5:$J$21,2,0),"")</f>
        <v>GENILSON</v>
      </c>
      <c r="I263" s="18" t="str">
        <f>IFERROR(VLOOKUP(Tabela1[[#This Row],[Mat. 3]],'Base de Dados'!$I$5:$J$21,2,0),"")</f>
        <v/>
      </c>
      <c r="J263" s="18" t="str">
        <f>IFERROR(VLOOKUP(Tabela1[[#This Row],[Mat. 4]],'Base de Dados'!$I$5:$J$21,2,0),"")</f>
        <v/>
      </c>
      <c r="K263" s="18" t="str">
        <f>IFERROR(VLOOKUP(Tabela1[[#This Row],[Mat. 1]],'Base de Dados'!$I$2:$M$21,5,0),"")</f>
        <v>1º</v>
      </c>
      <c r="L263" s="18" t="s">
        <v>141</v>
      </c>
      <c r="M263" s="18" t="s">
        <v>255</v>
      </c>
      <c r="N263" s="119" t="s">
        <v>553</v>
      </c>
      <c r="O263" s="119">
        <v>20</v>
      </c>
      <c r="P263" s="18">
        <v>0</v>
      </c>
      <c r="Q263" s="45" t="s">
        <v>574</v>
      </c>
      <c r="R263" s="18" t="s">
        <v>116</v>
      </c>
      <c r="S263" s="18" t="str">
        <f>IFERROR(VLOOKUP(Tabela1[[#This Row],[Cód. Causa]],'Base de Dados'!$O$2:$P$21,2,0),"")</f>
        <v xml:space="preserve">EQUIPAMENTO TRABALHANDO COM CARGA EXCESSIVA </v>
      </c>
      <c r="T263" s="18" t="str">
        <f>IFERROR(VLOOKUP(Tabela1[[#This Row],[Tag]],'Base de Dados'!$B$2:$C$64,2,0),"")</f>
        <v>CORTE DO TETO  - WATER JET 2</v>
      </c>
      <c r="U263" s="18" t="str">
        <f>IFERROR(VLOOKUP(Tabela1[[#This Row],[Tag]],'Base de Dados'!V263:W314,2,0),"")</f>
        <v/>
      </c>
      <c r="V263" s="119">
        <f>DAY(Tabela1[[#This Row],[Data]])</f>
        <v>16</v>
      </c>
      <c r="W263" s="119">
        <f>MONTH(Tabela1[[#This Row],[Data]])</f>
        <v>1</v>
      </c>
      <c r="X263" s="119">
        <f>YEAR(Tabela1[[#This Row],[Data]])</f>
        <v>2023</v>
      </c>
    </row>
    <row r="264" spans="1:24" x14ac:dyDescent="0.25">
      <c r="A264" s="118">
        <v>16065</v>
      </c>
      <c r="B264" s="21">
        <v>44942</v>
      </c>
      <c r="C264" s="23">
        <v>15</v>
      </c>
      <c r="D264" s="24"/>
      <c r="E264" s="24"/>
      <c r="F264" s="24"/>
      <c r="G264" s="18" t="str">
        <f>IFERROR(VLOOKUP(Tabela1[[#This Row],[Mat. 1]],'Base de Dados'!$I$5:$J$21,2,0),"")</f>
        <v>ROBERT</v>
      </c>
      <c r="H264" s="18" t="str">
        <f>IFERROR(VLOOKUP(Tabela1[[#This Row],[Mat. 2]],'Base de Dados'!$I$5:$J$21,2,0),"")</f>
        <v/>
      </c>
      <c r="I264" s="18" t="str">
        <f>IFERROR(VLOOKUP(Tabela1[[#This Row],[Mat. 3]],'Base de Dados'!$I$5:$J$21,2,0),"")</f>
        <v/>
      </c>
      <c r="J264" s="18" t="str">
        <f>IFERROR(VLOOKUP(Tabela1[[#This Row],[Mat. 4]],'Base de Dados'!$I$5:$J$21,2,0),"")</f>
        <v/>
      </c>
      <c r="K264" s="18" t="str">
        <f>IFERROR(VLOOKUP(Tabela1[[#This Row],[Mat. 1]],'Base de Dados'!$I$2:$M$21,5,0),"")</f>
        <v>1º</v>
      </c>
      <c r="L264" s="18" t="s">
        <v>141</v>
      </c>
      <c r="M264" s="18" t="s">
        <v>255</v>
      </c>
      <c r="N264" s="119" t="s">
        <v>553</v>
      </c>
      <c r="O264" s="119">
        <v>50</v>
      </c>
      <c r="P264" s="18">
        <v>0</v>
      </c>
      <c r="Q264" s="45" t="s">
        <v>344</v>
      </c>
      <c r="R264" s="18" t="s">
        <v>116</v>
      </c>
      <c r="S264" s="18" t="str">
        <f>IFERROR(VLOOKUP(Tabela1[[#This Row],[Cód. Causa]],'Base de Dados'!$O$2:$P$21,2,0),"")</f>
        <v xml:space="preserve">EQUIPAMENTO TRABALHANDO COM CARGA EXCESSIVA </v>
      </c>
      <c r="T264" s="18" t="str">
        <f>IFERROR(VLOOKUP(Tabela1[[#This Row],[Tag]],'Base de Dados'!$B$2:$C$64,2,0),"")</f>
        <v>CORTE DO TETO  - WATER JET 2</v>
      </c>
      <c r="U264" s="18" t="str">
        <f>IFERROR(VLOOKUP(Tabela1[[#This Row],[Tag]],'Base de Dados'!V264:W315,2,0),"")</f>
        <v/>
      </c>
      <c r="V264" s="119">
        <f>DAY(Tabela1[[#This Row],[Data]])</f>
        <v>16</v>
      </c>
      <c r="W264" s="119">
        <f>MONTH(Tabela1[[#This Row],[Data]])</f>
        <v>1</v>
      </c>
      <c r="X264" s="119">
        <f>YEAR(Tabela1[[#This Row],[Data]])</f>
        <v>2023</v>
      </c>
    </row>
    <row r="265" spans="1:24" x14ac:dyDescent="0.25">
      <c r="A265" s="118">
        <v>16063</v>
      </c>
      <c r="B265" s="21">
        <v>44942</v>
      </c>
      <c r="C265" s="23">
        <v>15</v>
      </c>
      <c r="D265" s="24">
        <v>721</v>
      </c>
      <c r="E265" s="24"/>
      <c r="F265" s="24"/>
      <c r="G265" s="18" t="str">
        <f>IFERROR(VLOOKUP(Tabela1[[#This Row],[Mat. 1]],'Base de Dados'!$I$5:$J$21,2,0),"")</f>
        <v>ROBERT</v>
      </c>
      <c r="H265" s="18" t="str">
        <f>IFERROR(VLOOKUP(Tabela1[[#This Row],[Mat. 2]],'Base de Dados'!$I$5:$J$21,2,0),"")</f>
        <v>GENILSON</v>
      </c>
      <c r="I265" s="18" t="str">
        <f>IFERROR(VLOOKUP(Tabela1[[#This Row],[Mat. 3]],'Base de Dados'!$I$5:$J$21,2,0),"")</f>
        <v/>
      </c>
      <c r="J265" s="18" t="str">
        <f>IFERROR(VLOOKUP(Tabela1[[#This Row],[Mat. 4]],'Base de Dados'!$I$5:$J$21,2,0),"")</f>
        <v/>
      </c>
      <c r="K265" s="18" t="str">
        <f>IFERROR(VLOOKUP(Tabela1[[#This Row],[Mat. 1]],'Base de Dados'!$I$2:$M$21,5,0),"")</f>
        <v>1º</v>
      </c>
      <c r="L265" s="18" t="s">
        <v>365</v>
      </c>
      <c r="M265" s="18" t="s">
        <v>255</v>
      </c>
      <c r="N265" s="119" t="s">
        <v>553</v>
      </c>
      <c r="O265" s="119">
        <v>75</v>
      </c>
      <c r="P265" s="18">
        <v>0</v>
      </c>
      <c r="Q265" s="45" t="s">
        <v>575</v>
      </c>
      <c r="R265" s="18" t="s">
        <v>116</v>
      </c>
      <c r="S265" s="18" t="str">
        <f>IFERROR(VLOOKUP(Tabela1[[#This Row],[Cód. Causa]],'Base de Dados'!$O$2:$P$21,2,0),"")</f>
        <v xml:space="preserve">EQUIPAMENTO TRABALHANDO COM CARGA EXCESSIVA </v>
      </c>
      <c r="T265" s="18" t="str">
        <f>IFERROR(VLOOKUP(Tabela1[[#This Row],[Tag]],'Base de Dados'!$B$2:$C$64,2,0),"")</f>
        <v/>
      </c>
      <c r="U265" s="18" t="str">
        <f>IFERROR(VLOOKUP(Tabela1[[#This Row],[Tag]],'Base de Dados'!V265:W316,2,0),"")</f>
        <v/>
      </c>
      <c r="V265" s="119">
        <f>DAY(Tabela1[[#This Row],[Data]])</f>
        <v>16</v>
      </c>
      <c r="W265" s="119">
        <f>MONTH(Tabela1[[#This Row],[Data]])</f>
        <v>1</v>
      </c>
      <c r="X265" s="119">
        <f>YEAR(Tabela1[[#This Row],[Data]])</f>
        <v>2023</v>
      </c>
    </row>
    <row r="266" spans="1:24" x14ac:dyDescent="0.25">
      <c r="A266" s="118" t="s">
        <v>576</v>
      </c>
      <c r="B266" s="21">
        <v>44942</v>
      </c>
      <c r="C266" s="23">
        <v>185</v>
      </c>
      <c r="D266" s="24">
        <v>435</v>
      </c>
      <c r="E266" s="24"/>
      <c r="F266" s="24"/>
      <c r="G266" s="18" t="str">
        <f>IFERROR(VLOOKUP(Tabela1[[#This Row],[Mat. 1]],'Base de Dados'!$I$5:$J$21,2,0),"")</f>
        <v>FELIPE</v>
      </c>
      <c r="H266" s="18" t="str">
        <f>IFERROR(VLOOKUP(Tabela1[[#This Row],[Mat. 2]],'Base de Dados'!$I$5:$J$21,2,0),"")</f>
        <v>SILVIO</v>
      </c>
      <c r="I266" s="18" t="str">
        <f>IFERROR(VLOOKUP(Tabela1[[#This Row],[Mat. 3]],'Base de Dados'!$I$5:$J$21,2,0),"")</f>
        <v/>
      </c>
      <c r="J266" s="18" t="str">
        <f>IFERROR(VLOOKUP(Tabela1[[#This Row],[Mat. 4]],'Base de Dados'!$I$5:$J$21,2,0),"")</f>
        <v/>
      </c>
      <c r="K266" s="18" t="str">
        <f>IFERROR(VLOOKUP(Tabela1[[#This Row],[Mat. 1]],'Base de Dados'!$I$2:$M$21,5,0),"")</f>
        <v>1º</v>
      </c>
      <c r="L266" s="18" t="s">
        <v>158</v>
      </c>
      <c r="M266" s="18" t="s">
        <v>255</v>
      </c>
      <c r="N266" s="119" t="s">
        <v>257</v>
      </c>
      <c r="O266" s="119">
        <v>0</v>
      </c>
      <c r="P266" s="18">
        <v>40</v>
      </c>
      <c r="Q266" s="45" t="s">
        <v>257</v>
      </c>
      <c r="R266" s="18" t="s">
        <v>19</v>
      </c>
      <c r="S266" s="18" t="str">
        <f>IFERROR(VLOOKUP(Tabela1[[#This Row],[Cód. Causa]],'Base de Dados'!$O$2:$P$21,2,0),"")</f>
        <v>INFLUENCIA EXTERNA</v>
      </c>
      <c r="T266" s="18" t="str">
        <f>IFERROR(VLOOKUP(Tabela1[[#This Row],[Tag]],'Base de Dados'!$B$2:$C$64,2,0),"")</f>
        <v>PRENSA TERMOFORMAGEM</v>
      </c>
      <c r="U266" s="18" t="str">
        <f>IFERROR(VLOOKUP(Tabela1[[#This Row],[Tag]],'Base de Dados'!V266:W317,2,0),"")</f>
        <v/>
      </c>
      <c r="V266" s="119">
        <f>DAY(Tabela1[[#This Row],[Data]])</f>
        <v>16</v>
      </c>
      <c r="W266" s="119">
        <f>MONTH(Tabela1[[#This Row],[Data]])</f>
        <v>1</v>
      </c>
      <c r="X266" s="119">
        <f>YEAR(Tabela1[[#This Row],[Data]])</f>
        <v>2023</v>
      </c>
    </row>
    <row r="267" spans="1:24" x14ac:dyDescent="0.25">
      <c r="A267" s="118" t="s">
        <v>577</v>
      </c>
      <c r="B267" s="21">
        <v>44942</v>
      </c>
      <c r="C267" s="23">
        <v>721</v>
      </c>
      <c r="D267" s="24"/>
      <c r="E267" s="24"/>
      <c r="F267" s="24"/>
      <c r="G267" s="18" t="str">
        <f>IFERROR(VLOOKUP(Tabela1[[#This Row],[Mat. 1]],'Base de Dados'!$I$5:$J$21,2,0),"")</f>
        <v>GENILSON</v>
      </c>
      <c r="H267" s="18" t="str">
        <f>IFERROR(VLOOKUP(Tabela1[[#This Row],[Mat. 2]],'Base de Dados'!$I$5:$J$21,2,0),"")</f>
        <v/>
      </c>
      <c r="I267" s="18" t="str">
        <f>IFERROR(VLOOKUP(Tabela1[[#This Row],[Mat. 3]],'Base de Dados'!$I$5:$J$21,2,0),"")</f>
        <v/>
      </c>
      <c r="J267" s="18" t="str">
        <f>IFERROR(VLOOKUP(Tabela1[[#This Row],[Mat. 4]],'Base de Dados'!$I$5:$J$21,2,0),"")</f>
        <v/>
      </c>
      <c r="K267" s="18" t="str">
        <f>IFERROR(VLOOKUP(Tabela1[[#This Row],[Mat. 1]],'Base de Dados'!$I$2:$M$21,5,0),"")</f>
        <v>1º</v>
      </c>
      <c r="L267" s="18" t="s">
        <v>166</v>
      </c>
      <c r="M267" s="18" t="s">
        <v>255</v>
      </c>
      <c r="N267" s="119" t="s">
        <v>257</v>
      </c>
      <c r="O267" s="119">
        <v>0</v>
      </c>
      <c r="P267" s="18">
        <v>20</v>
      </c>
      <c r="Q267" s="45" t="s">
        <v>257</v>
      </c>
      <c r="R267" s="18" t="s">
        <v>19</v>
      </c>
      <c r="S267" s="18" t="str">
        <f>IFERROR(VLOOKUP(Tabela1[[#This Row],[Cód. Causa]],'Base de Dados'!$O$2:$P$21,2,0),"")</f>
        <v>INFLUENCIA EXTERNA</v>
      </c>
      <c r="T267" s="18" t="str">
        <f>IFERROR(VLOOKUP(Tabela1[[#This Row],[Tag]],'Base de Dados'!$B$2:$C$64,2,0),"")</f>
        <v>PRENSA MOLDAGEM TUNNEL</v>
      </c>
      <c r="U267" s="18" t="str">
        <f>IFERROR(VLOOKUP(Tabela1[[#This Row],[Tag]],'Base de Dados'!V267:W318,2,0),"")</f>
        <v/>
      </c>
      <c r="V267" s="119">
        <f>DAY(Tabela1[[#This Row],[Data]])</f>
        <v>16</v>
      </c>
      <c r="W267" s="119">
        <f>MONTH(Tabela1[[#This Row],[Data]])</f>
        <v>1</v>
      </c>
      <c r="X267" s="119">
        <f>YEAR(Tabela1[[#This Row],[Data]])</f>
        <v>2023</v>
      </c>
    </row>
    <row r="268" spans="1:24" x14ac:dyDescent="0.25">
      <c r="A268" s="118">
        <v>16091</v>
      </c>
      <c r="B268" s="21">
        <v>44943</v>
      </c>
      <c r="C268" s="23">
        <v>721</v>
      </c>
      <c r="D268" s="24">
        <v>877</v>
      </c>
      <c r="E268" s="24"/>
      <c r="F268" s="24"/>
      <c r="G268" s="18" t="str">
        <f>IFERROR(VLOOKUP(Tabela1[[#This Row],[Mat. 1]],'Base de Dados'!$I$5:$J$21,2,0),"")</f>
        <v>GENILSON</v>
      </c>
      <c r="H268" s="18" t="str">
        <f>IFERROR(VLOOKUP(Tabela1[[#This Row],[Mat. 2]],'Base de Dados'!$I$5:$J$21,2,0),"")</f>
        <v>RONALDO</v>
      </c>
      <c r="I268" s="18" t="str">
        <f>IFERROR(VLOOKUP(Tabela1[[#This Row],[Mat. 3]],'Base de Dados'!$I$5:$J$21,2,0),"")</f>
        <v/>
      </c>
      <c r="J268" s="18" t="str">
        <f>IFERROR(VLOOKUP(Tabela1[[#This Row],[Mat. 4]],'Base de Dados'!$I$5:$J$21,2,0),"")</f>
        <v/>
      </c>
      <c r="K268" s="18" t="str">
        <f>IFERROR(VLOOKUP(Tabela1[[#This Row],[Mat. 1]],'Base de Dados'!$I$2:$M$21,5,0),"")</f>
        <v>1º</v>
      </c>
      <c r="L268" s="18" t="s">
        <v>166</v>
      </c>
      <c r="M268" s="18" t="s">
        <v>256</v>
      </c>
      <c r="N268" s="119" t="s">
        <v>553</v>
      </c>
      <c r="O268" s="119">
        <v>60</v>
      </c>
      <c r="P268" s="18">
        <v>0</v>
      </c>
      <c r="Q268" s="45" t="s">
        <v>578</v>
      </c>
      <c r="R268" s="18" t="s">
        <v>116</v>
      </c>
      <c r="S268" s="18" t="str">
        <f>IFERROR(VLOOKUP(Tabela1[[#This Row],[Cód. Causa]],'Base de Dados'!$O$2:$P$21,2,0),"")</f>
        <v xml:space="preserve">EQUIPAMENTO TRABALHANDO COM CARGA EXCESSIVA </v>
      </c>
      <c r="T268" s="18" t="str">
        <f>IFERROR(VLOOKUP(Tabela1[[#This Row],[Tag]],'Base de Dados'!$B$2:$C$64,2,0),"")</f>
        <v>PRENSA MOLDAGEM TUNNEL</v>
      </c>
      <c r="U268" s="18" t="str">
        <f>IFERROR(VLOOKUP(Tabela1[[#This Row],[Tag]],'Base de Dados'!V268:W319,2,0),"")</f>
        <v/>
      </c>
      <c r="V268" s="119">
        <f>DAY(Tabela1[[#This Row],[Data]])</f>
        <v>17</v>
      </c>
      <c r="W268" s="119">
        <f>MONTH(Tabela1[[#This Row],[Data]])</f>
        <v>1</v>
      </c>
      <c r="X268" s="119">
        <f>YEAR(Tabela1[[#This Row],[Data]])</f>
        <v>2023</v>
      </c>
    </row>
    <row r="269" spans="1:24" x14ac:dyDescent="0.25">
      <c r="A269" s="118">
        <v>16023</v>
      </c>
      <c r="B269" s="21">
        <v>44943</v>
      </c>
      <c r="C269" s="23">
        <v>15</v>
      </c>
      <c r="D269" s="24">
        <v>721</v>
      </c>
      <c r="E269" s="24"/>
      <c r="F269" s="24"/>
      <c r="G269" s="18" t="str">
        <f>IFERROR(VLOOKUP(Tabela1[[#This Row],[Mat. 1]],'Base de Dados'!$I$5:$J$21,2,0),"")</f>
        <v>ROBERT</v>
      </c>
      <c r="H269" s="18" t="str">
        <f>IFERROR(VLOOKUP(Tabela1[[#This Row],[Mat. 2]],'Base de Dados'!$I$5:$J$21,2,0),"")</f>
        <v>GENILSON</v>
      </c>
      <c r="I269" s="18" t="str">
        <f>IFERROR(VLOOKUP(Tabela1[[#This Row],[Mat. 3]],'Base de Dados'!$I$5:$J$21,2,0),"")</f>
        <v/>
      </c>
      <c r="J269" s="18" t="str">
        <f>IFERROR(VLOOKUP(Tabela1[[#This Row],[Mat. 4]],'Base de Dados'!$I$5:$J$21,2,0),"")</f>
        <v/>
      </c>
      <c r="K269" s="18" t="str">
        <f>IFERROR(VLOOKUP(Tabela1[[#This Row],[Mat. 1]],'Base de Dados'!$I$2:$M$21,5,0),"")</f>
        <v>1º</v>
      </c>
      <c r="L269" s="18" t="s">
        <v>570</v>
      </c>
      <c r="M269" s="18" t="s">
        <v>255</v>
      </c>
      <c r="N269" s="119" t="s">
        <v>553</v>
      </c>
      <c r="O269" s="119">
        <v>10</v>
      </c>
      <c r="P269" s="18">
        <v>0</v>
      </c>
      <c r="Q269" s="45" t="s">
        <v>579</v>
      </c>
      <c r="R269" s="18" t="s">
        <v>116</v>
      </c>
      <c r="S269" s="18" t="str">
        <f>IFERROR(VLOOKUP(Tabela1[[#This Row],[Cód. Causa]],'Base de Dados'!$O$2:$P$21,2,0),"")</f>
        <v xml:space="preserve">EQUIPAMENTO TRABALHANDO COM CARGA EXCESSIVA </v>
      </c>
      <c r="T269" s="18" t="str">
        <f>IFERROR(VLOOKUP(Tabela1[[#This Row],[Tag]],'Base de Dados'!$B$2:$C$64,2,0),"")</f>
        <v/>
      </c>
      <c r="U269" s="18" t="str">
        <f>IFERROR(VLOOKUP(Tabela1[[#This Row],[Tag]],'Base de Dados'!V269:W320,2,0),"")</f>
        <v/>
      </c>
      <c r="V269" s="119">
        <f>DAY(Tabela1[[#This Row],[Data]])</f>
        <v>17</v>
      </c>
      <c r="W269" s="119">
        <f>MONTH(Tabela1[[#This Row],[Data]])</f>
        <v>1</v>
      </c>
      <c r="X269" s="119">
        <f>YEAR(Tabela1[[#This Row],[Data]])</f>
        <v>2023</v>
      </c>
    </row>
    <row r="270" spans="1:24" x14ac:dyDescent="0.25">
      <c r="A270" s="118">
        <v>13939</v>
      </c>
      <c r="B270" s="21">
        <v>44943</v>
      </c>
      <c r="C270" s="23">
        <v>721</v>
      </c>
      <c r="D270" s="24"/>
      <c r="E270" s="24"/>
      <c r="F270" s="24"/>
      <c r="G270" s="18" t="str">
        <f>IFERROR(VLOOKUP(Tabela1[[#This Row],[Mat. 1]],'Base de Dados'!$I$5:$J$21,2,0),"")</f>
        <v>GENILSON</v>
      </c>
      <c r="H270" s="18" t="str">
        <f>IFERROR(VLOOKUP(Tabela1[[#This Row],[Mat. 2]],'Base de Dados'!$I$5:$J$21,2,0),"")</f>
        <v/>
      </c>
      <c r="I270" s="18" t="str">
        <f>IFERROR(VLOOKUP(Tabela1[[#This Row],[Mat. 3]],'Base de Dados'!$I$5:$J$21,2,0),"")</f>
        <v/>
      </c>
      <c r="J270" s="18" t="str">
        <f>IFERROR(VLOOKUP(Tabela1[[#This Row],[Mat. 4]],'Base de Dados'!$I$5:$J$21,2,0),"")</f>
        <v/>
      </c>
      <c r="K270" s="18" t="str">
        <f>IFERROR(VLOOKUP(Tabela1[[#This Row],[Mat. 1]],'Base de Dados'!$I$2:$M$21,5,0),"")</f>
        <v>1º</v>
      </c>
      <c r="L270" s="18" t="s">
        <v>187</v>
      </c>
      <c r="M270" s="18" t="s">
        <v>256</v>
      </c>
      <c r="N270" s="119" t="s">
        <v>553</v>
      </c>
      <c r="O270" s="119">
        <v>11</v>
      </c>
      <c r="P270" s="18">
        <v>0</v>
      </c>
      <c r="Q270" s="45" t="s">
        <v>580</v>
      </c>
      <c r="R270" s="18" t="s">
        <v>116</v>
      </c>
      <c r="S270" s="18" t="str">
        <f>IFERROR(VLOOKUP(Tabela1[[#This Row],[Cód. Causa]],'Base de Dados'!$O$2:$P$21,2,0),"")</f>
        <v xml:space="preserve">EQUIPAMENTO TRABALHANDO COM CARGA EXCESSIVA </v>
      </c>
      <c r="T270" s="18" t="str">
        <f>IFERROR(VLOOKUP(Tabela1[[#This Row],[Tag]],'Base de Dados'!$B$2:$C$64,2,0),"")</f>
        <v>CORTE DO CARPETE- WATER JET</v>
      </c>
      <c r="U270" s="18" t="str">
        <f>IFERROR(VLOOKUP(Tabela1[[#This Row],[Tag]],'Base de Dados'!V270:W321,2,0),"")</f>
        <v/>
      </c>
      <c r="V270" s="119">
        <f>DAY(Tabela1[[#This Row],[Data]])</f>
        <v>17</v>
      </c>
      <c r="W270" s="119">
        <f>MONTH(Tabela1[[#This Row],[Data]])</f>
        <v>1</v>
      </c>
      <c r="X270" s="119">
        <f>YEAR(Tabela1[[#This Row],[Data]])</f>
        <v>2023</v>
      </c>
    </row>
    <row r="271" spans="1:24" x14ac:dyDescent="0.25">
      <c r="A271" s="118">
        <v>13590</v>
      </c>
      <c r="B271" s="21">
        <v>44943</v>
      </c>
      <c r="C271" s="23">
        <v>739</v>
      </c>
      <c r="D271" s="24">
        <v>15</v>
      </c>
      <c r="E271" s="24"/>
      <c r="F271" s="24"/>
      <c r="G271" s="18" t="str">
        <f>IFERROR(VLOOKUP(Tabela1[[#This Row],[Mat. 1]],'Base de Dados'!$I$5:$J$21,2,0),"")</f>
        <v>DANILLO</v>
      </c>
      <c r="H271" s="18" t="str">
        <f>IFERROR(VLOOKUP(Tabela1[[#This Row],[Mat. 2]],'Base de Dados'!$I$5:$J$21,2,0),"")</f>
        <v>ROBERT</v>
      </c>
      <c r="I271" s="18" t="str">
        <f>IFERROR(VLOOKUP(Tabela1[[#This Row],[Mat. 3]],'Base de Dados'!$I$5:$J$21,2,0),"")</f>
        <v/>
      </c>
      <c r="J271" s="18" t="str">
        <f>IFERROR(VLOOKUP(Tabela1[[#This Row],[Mat. 4]],'Base de Dados'!$I$5:$J$21,2,0),"")</f>
        <v/>
      </c>
      <c r="K271" s="18" t="str">
        <f>IFERROR(VLOOKUP(Tabela1[[#This Row],[Mat. 1]],'Base de Dados'!$I$2:$M$21,5,0),"")</f>
        <v>1º</v>
      </c>
      <c r="L271" s="18" t="s">
        <v>42</v>
      </c>
      <c r="M271" s="18" t="s">
        <v>256</v>
      </c>
      <c r="N271" s="119" t="s">
        <v>553</v>
      </c>
      <c r="O271" s="119">
        <v>60</v>
      </c>
      <c r="P271" s="18">
        <v>0</v>
      </c>
      <c r="Q271" s="45" t="s">
        <v>581</v>
      </c>
      <c r="R271" s="18" t="s">
        <v>116</v>
      </c>
      <c r="S271" s="18" t="str">
        <f>IFERROR(VLOOKUP(Tabela1[[#This Row],[Cód. Causa]],'Base de Dados'!$O$2:$P$21,2,0),"")</f>
        <v xml:space="preserve">EQUIPAMENTO TRABALHANDO COM CARGA EXCESSIVA </v>
      </c>
      <c r="T271" s="18" t="str">
        <f>IFERROR(VLOOKUP(Tabela1[[#This Row],[Tag]],'Base de Dados'!$B$2:$C$64,2,0),"")</f>
        <v>INJETORA</v>
      </c>
      <c r="U271" s="18" t="str">
        <f>IFERROR(VLOOKUP(Tabela1[[#This Row],[Tag]],'Base de Dados'!V271:W322,2,0),"")</f>
        <v/>
      </c>
      <c r="V271" s="119">
        <f>DAY(Tabela1[[#This Row],[Data]])</f>
        <v>17</v>
      </c>
      <c r="W271" s="119">
        <f>MONTH(Tabela1[[#This Row],[Data]])</f>
        <v>1</v>
      </c>
      <c r="X271" s="119">
        <f>YEAR(Tabela1[[#This Row],[Data]])</f>
        <v>2023</v>
      </c>
    </row>
    <row r="272" spans="1:24" x14ac:dyDescent="0.25">
      <c r="A272" s="118">
        <v>16024</v>
      </c>
      <c r="B272" s="21">
        <v>44943</v>
      </c>
      <c r="C272" s="23">
        <v>739</v>
      </c>
      <c r="D272" s="24"/>
      <c r="E272" s="24"/>
      <c r="F272" s="24"/>
      <c r="G272" s="18" t="str">
        <f>IFERROR(VLOOKUP(Tabela1[[#This Row],[Mat. 1]],'Base de Dados'!$I$5:$J$21,2,0),"")</f>
        <v>DANILLO</v>
      </c>
      <c r="H272" s="18" t="str">
        <f>IFERROR(VLOOKUP(Tabela1[[#This Row],[Mat. 2]],'Base de Dados'!$I$5:$J$21,2,0),"")</f>
        <v/>
      </c>
      <c r="I272" s="18" t="str">
        <f>IFERROR(VLOOKUP(Tabela1[[#This Row],[Mat. 3]],'Base de Dados'!$I$5:$J$21,2,0),"")</f>
        <v/>
      </c>
      <c r="J272" s="18" t="str">
        <f>IFERROR(VLOOKUP(Tabela1[[#This Row],[Mat. 4]],'Base de Dados'!$I$5:$J$21,2,0),"")</f>
        <v/>
      </c>
      <c r="K272" s="18" t="str">
        <f>IFERROR(VLOOKUP(Tabela1[[#This Row],[Mat. 1]],'Base de Dados'!$I$2:$M$21,5,0),"")</f>
        <v>1º</v>
      </c>
      <c r="L272" s="18" t="s">
        <v>183</v>
      </c>
      <c r="M272" s="18" t="s">
        <v>256</v>
      </c>
      <c r="N272" s="119" t="s">
        <v>553</v>
      </c>
      <c r="O272" s="119">
        <v>15</v>
      </c>
      <c r="P272" s="18">
        <v>0</v>
      </c>
      <c r="Q272" s="45" t="s">
        <v>582</v>
      </c>
      <c r="R272" s="18" t="s">
        <v>34</v>
      </c>
      <c r="S272" s="18" t="str">
        <f>IFERROR(VLOOKUP(Tabela1[[#This Row],[Cód. Causa]],'Base de Dados'!$O$2:$P$21,2,0),"")</f>
        <v>FALHA EM COMPONENTES ELETRONICO</v>
      </c>
      <c r="T272" s="18" t="str">
        <f>IFERROR(VLOOKUP(Tabela1[[#This Row],[Tag]],'Base de Dados'!$B$2:$C$64,2,0),"")</f>
        <v>INJETORA CARPETE</v>
      </c>
      <c r="U272" s="18" t="str">
        <f>IFERROR(VLOOKUP(Tabela1[[#This Row],[Tag]],'Base de Dados'!V272:W323,2,0),"")</f>
        <v/>
      </c>
      <c r="V272" s="119">
        <f>DAY(Tabela1[[#This Row],[Data]])</f>
        <v>17</v>
      </c>
      <c r="W272" s="119">
        <f>MONTH(Tabela1[[#This Row],[Data]])</f>
        <v>1</v>
      </c>
      <c r="X272" s="119">
        <f>YEAR(Tabela1[[#This Row],[Data]])</f>
        <v>2023</v>
      </c>
    </row>
    <row r="273" spans="1:24" x14ac:dyDescent="0.25">
      <c r="A273" s="118">
        <v>13941</v>
      </c>
      <c r="B273" s="21">
        <v>44943</v>
      </c>
      <c r="C273" s="23">
        <v>677</v>
      </c>
      <c r="D273" s="24"/>
      <c r="E273" s="24"/>
      <c r="F273" s="24"/>
      <c r="G273" s="18" t="str">
        <f>IFERROR(VLOOKUP(Tabela1[[#This Row],[Mat. 1]],'Base de Dados'!$I$5:$J$21,2,0),"")</f>
        <v>RAFAEL</v>
      </c>
      <c r="H273" s="18" t="str">
        <f>IFERROR(VLOOKUP(Tabela1[[#This Row],[Mat. 2]],'Base de Dados'!$I$5:$J$21,2,0),"")</f>
        <v/>
      </c>
      <c r="I273" s="18" t="str">
        <f>IFERROR(VLOOKUP(Tabela1[[#This Row],[Mat. 3]],'Base de Dados'!$I$5:$J$21,2,0),"")</f>
        <v/>
      </c>
      <c r="J273" s="18" t="str">
        <f>IFERROR(VLOOKUP(Tabela1[[#This Row],[Mat. 4]],'Base de Dados'!$I$5:$J$21,2,0),"")</f>
        <v/>
      </c>
      <c r="K273" s="18" t="str">
        <f>IFERROR(VLOOKUP(Tabela1[[#This Row],[Mat. 1]],'Base de Dados'!$I$2:$M$21,5,0),"")</f>
        <v>2º</v>
      </c>
      <c r="L273" s="18" t="s">
        <v>172</v>
      </c>
      <c r="M273" s="18" t="s">
        <v>256</v>
      </c>
      <c r="N273" s="119" t="s">
        <v>553</v>
      </c>
      <c r="O273" s="119">
        <v>26</v>
      </c>
      <c r="P273" s="18">
        <v>0</v>
      </c>
      <c r="Q273" s="45" t="s">
        <v>583</v>
      </c>
      <c r="R273" s="18" t="s">
        <v>34</v>
      </c>
      <c r="S273" s="18" t="str">
        <f>IFERROR(VLOOKUP(Tabela1[[#This Row],[Cód. Causa]],'Base de Dados'!$O$2:$P$21,2,0),"")</f>
        <v>FALHA EM COMPONENTES ELETRONICO</v>
      </c>
      <c r="T273" s="18" t="str">
        <f>IFERROR(VLOOKUP(Tabela1[[#This Row],[Tag]],'Base de Dados'!$B$2:$C$64,2,0),"")</f>
        <v>PRENSA DE MOLDAGEM CARPETE</v>
      </c>
      <c r="U273" s="18" t="str">
        <f>IFERROR(VLOOKUP(Tabela1[[#This Row],[Tag]],'Base de Dados'!V273:W324,2,0),"")</f>
        <v/>
      </c>
      <c r="V273" s="119">
        <f>DAY(Tabela1[[#This Row],[Data]])</f>
        <v>17</v>
      </c>
      <c r="W273" s="119">
        <f>MONTH(Tabela1[[#This Row],[Data]])</f>
        <v>1</v>
      </c>
      <c r="X273" s="119">
        <f>YEAR(Tabela1[[#This Row],[Data]])</f>
        <v>2023</v>
      </c>
    </row>
    <row r="274" spans="1:24" x14ac:dyDescent="0.25">
      <c r="A274" s="118">
        <v>13940</v>
      </c>
      <c r="B274" s="21">
        <v>44943</v>
      </c>
      <c r="C274" s="23">
        <v>721</v>
      </c>
      <c r="D274" s="24">
        <v>267</v>
      </c>
      <c r="E274" s="24"/>
      <c r="F274" s="24"/>
      <c r="G274" s="18" t="str">
        <f>IFERROR(VLOOKUP(Tabela1[[#This Row],[Mat. 1]],'Base de Dados'!$I$5:$J$21,2,0),"")</f>
        <v>GENILSON</v>
      </c>
      <c r="H274" s="18" t="str">
        <f>IFERROR(VLOOKUP(Tabela1[[#This Row],[Mat. 2]],'Base de Dados'!$I$5:$J$21,2,0),"")</f>
        <v/>
      </c>
      <c r="I274" s="18" t="str">
        <f>IFERROR(VLOOKUP(Tabela1[[#This Row],[Mat. 3]],'Base de Dados'!$I$5:$J$21,2,0),"")</f>
        <v/>
      </c>
      <c r="J274" s="18" t="str">
        <f>IFERROR(VLOOKUP(Tabela1[[#This Row],[Mat. 4]],'Base de Dados'!$I$5:$J$21,2,0),"")</f>
        <v/>
      </c>
      <c r="K274" s="18" t="str">
        <f>IFERROR(VLOOKUP(Tabela1[[#This Row],[Mat. 1]],'Base de Dados'!$I$2:$M$21,5,0),"")</f>
        <v>1º</v>
      </c>
      <c r="L274" s="18" t="s">
        <v>185</v>
      </c>
      <c r="M274" s="18" t="s">
        <v>256</v>
      </c>
      <c r="N274" s="119" t="s">
        <v>553</v>
      </c>
      <c r="O274" s="119">
        <v>60</v>
      </c>
      <c r="P274" s="18">
        <v>0</v>
      </c>
      <c r="Q274" s="45" t="s">
        <v>584</v>
      </c>
      <c r="R274" s="18" t="s">
        <v>34</v>
      </c>
      <c r="S274" s="18" t="str">
        <f>IFERROR(VLOOKUP(Tabela1[[#This Row],[Cód. Causa]],'Base de Dados'!$O$2:$P$21,2,0),"")</f>
        <v>FALHA EM COMPONENTES ELETRONICO</v>
      </c>
      <c r="T274" s="18" t="str">
        <f>IFERROR(VLOOKUP(Tabela1[[#This Row],[Tag]],'Base de Dados'!$B$2:$C$64,2,0),"")</f>
        <v>CORTE DO CARPETE- WATER JET</v>
      </c>
      <c r="U274" s="18" t="str">
        <f>IFERROR(VLOOKUP(Tabela1[[#This Row],[Tag]],'Base de Dados'!V274:W325,2,0),"")</f>
        <v/>
      </c>
      <c r="V274" s="119">
        <f>DAY(Tabela1[[#This Row],[Data]])</f>
        <v>17</v>
      </c>
      <c r="W274" s="119">
        <f>MONTH(Tabela1[[#This Row],[Data]])</f>
        <v>1</v>
      </c>
      <c r="X274" s="119">
        <f>YEAR(Tabela1[[#This Row],[Data]])</f>
        <v>2023</v>
      </c>
    </row>
    <row r="275" spans="1:24" x14ac:dyDescent="0.25">
      <c r="A275" s="118">
        <v>13593</v>
      </c>
      <c r="B275" s="21">
        <v>44943</v>
      </c>
      <c r="C275" s="23">
        <v>540</v>
      </c>
      <c r="D275" s="24"/>
      <c r="E275" s="24"/>
      <c r="F275" s="24"/>
      <c r="G275" s="18" t="str">
        <f>IFERROR(VLOOKUP(Tabela1[[#This Row],[Mat. 1]],'Base de Dados'!$I$5:$J$21,2,0),"")</f>
        <v>ANDERSON</v>
      </c>
      <c r="H275" s="18" t="str">
        <f>IFERROR(VLOOKUP(Tabela1[[#This Row],[Mat. 2]],'Base de Dados'!$I$5:$J$21,2,0),"")</f>
        <v/>
      </c>
      <c r="I275" s="18" t="str">
        <f>IFERROR(VLOOKUP(Tabela1[[#This Row],[Mat. 3]],'Base de Dados'!$I$5:$J$21,2,0),"")</f>
        <v/>
      </c>
      <c r="J275" s="18" t="str">
        <f>IFERROR(VLOOKUP(Tabela1[[#This Row],[Mat. 4]],'Base de Dados'!$I$5:$J$21,2,0),"")</f>
        <v/>
      </c>
      <c r="K275" s="18" t="str">
        <f>IFERROR(VLOOKUP(Tabela1[[#This Row],[Mat. 1]],'Base de Dados'!$I$2:$M$21,5,0),"")</f>
        <v>2º</v>
      </c>
      <c r="L275" s="18" t="s">
        <v>42</v>
      </c>
      <c r="M275" s="18" t="s">
        <v>255</v>
      </c>
      <c r="N275" s="119" t="s">
        <v>553</v>
      </c>
      <c r="O275" s="119">
        <v>15</v>
      </c>
      <c r="P275" s="18">
        <v>0</v>
      </c>
      <c r="Q275" s="45" t="s">
        <v>585</v>
      </c>
      <c r="R275" s="18" t="s">
        <v>116</v>
      </c>
      <c r="S275" s="18" t="str">
        <f>IFERROR(VLOOKUP(Tabela1[[#This Row],[Cód. Causa]],'Base de Dados'!$O$2:$P$21,2,0),"")</f>
        <v xml:space="preserve">EQUIPAMENTO TRABALHANDO COM CARGA EXCESSIVA </v>
      </c>
      <c r="T275" s="18" t="str">
        <f>IFERROR(VLOOKUP(Tabela1[[#This Row],[Tag]],'Base de Dados'!$B$2:$C$64,2,0),"")</f>
        <v>INJETORA</v>
      </c>
      <c r="U275" s="18" t="str">
        <f>IFERROR(VLOOKUP(Tabela1[[#This Row],[Tag]],'Base de Dados'!V275:W326,2,0),"")</f>
        <v/>
      </c>
      <c r="V275" s="119">
        <f>DAY(Tabela1[[#This Row],[Data]])</f>
        <v>17</v>
      </c>
      <c r="W275" s="119">
        <f>MONTH(Tabela1[[#This Row],[Data]])</f>
        <v>1</v>
      </c>
      <c r="X275" s="119">
        <f>YEAR(Tabela1[[#This Row],[Data]])</f>
        <v>2023</v>
      </c>
    </row>
    <row r="276" spans="1:24" x14ac:dyDescent="0.25">
      <c r="A276" s="120" t="s">
        <v>590</v>
      </c>
      <c r="B276" s="21">
        <v>44943</v>
      </c>
      <c r="C276" s="23">
        <v>248</v>
      </c>
      <c r="D276" s="24">
        <v>282</v>
      </c>
      <c r="E276" s="24">
        <v>540</v>
      </c>
      <c r="F276" s="24">
        <v>631</v>
      </c>
      <c r="G276" s="18" t="str">
        <f>IFERROR(VLOOKUP(Tabela1[[#This Row],[Mat. 1]],'Base de Dados'!$I$5:$J$21,2,0),"")</f>
        <v>RUIGUENS</v>
      </c>
      <c r="H276" s="18" t="str">
        <f>IFERROR(VLOOKUP(Tabela1[[#This Row],[Mat. 2]],'Base de Dados'!$I$5:$J$21,2,0),"")</f>
        <v/>
      </c>
      <c r="I276" s="18" t="str">
        <f>IFERROR(VLOOKUP(Tabela1[[#This Row],[Mat. 3]],'Base de Dados'!$I$5:$J$21,2,0),"")</f>
        <v>ANDERSON</v>
      </c>
      <c r="J276" s="18" t="str">
        <f>IFERROR(VLOOKUP(Tabela1[[#This Row],[Mat. 4]],'Base de Dados'!$I$5:$J$21,2,0),"")</f>
        <v>JOSINALDO</v>
      </c>
      <c r="K276" s="18" t="str">
        <f>IFERROR(VLOOKUP(Tabela1[[#This Row],[Mat. 1]],'Base de Dados'!$I$2:$M$21,5,0),"")</f>
        <v>2º</v>
      </c>
      <c r="L276" s="18" t="s">
        <v>166</v>
      </c>
      <c r="M276" s="18" t="s">
        <v>255</v>
      </c>
      <c r="N276" s="119" t="s">
        <v>257</v>
      </c>
      <c r="O276" s="119">
        <v>0</v>
      </c>
      <c r="P276" s="18">
        <v>50</v>
      </c>
      <c r="Q276" s="45" t="s">
        <v>257</v>
      </c>
      <c r="R276" s="18" t="s">
        <v>19</v>
      </c>
      <c r="S276" s="18" t="str">
        <f>IFERROR(VLOOKUP(Tabela1[[#This Row],[Cód. Causa]],'Base de Dados'!$O$2:$P$21,2,0),"")</f>
        <v>INFLUENCIA EXTERNA</v>
      </c>
      <c r="T276" s="18" t="str">
        <f>IFERROR(VLOOKUP(Tabela1[[#This Row],[Tag]],'Base de Dados'!$B$2:$C$64,2,0),"")</f>
        <v>PRENSA MOLDAGEM TUNNEL</v>
      </c>
      <c r="U276" s="18" t="str">
        <f>IFERROR(VLOOKUP(Tabela1[[#This Row],[Tag]],'Base de Dados'!V276:W327,2,0),"")</f>
        <v/>
      </c>
      <c r="V276" s="119">
        <f>DAY(Tabela1[[#This Row],[Data]])</f>
        <v>17</v>
      </c>
      <c r="W276" s="119">
        <f>MONTH(Tabela1[[#This Row],[Data]])</f>
        <v>1</v>
      </c>
      <c r="X276" s="119">
        <f>YEAR(Tabela1[[#This Row],[Data]])</f>
        <v>2023</v>
      </c>
    </row>
    <row r="277" spans="1:24" x14ac:dyDescent="0.25">
      <c r="A277" s="118">
        <v>16017</v>
      </c>
      <c r="B277" s="21">
        <v>44944</v>
      </c>
      <c r="C277" s="23">
        <v>15</v>
      </c>
      <c r="D277" s="24"/>
      <c r="E277" s="24"/>
      <c r="F277" s="24"/>
      <c r="G277" s="18" t="str">
        <f>IFERROR(VLOOKUP(Tabela1[[#This Row],[Mat. 1]],'Base de Dados'!$I$5:$J$21,2,0),"")</f>
        <v>ROBERT</v>
      </c>
      <c r="H277" s="18" t="str">
        <f>IFERROR(VLOOKUP(Tabela1[[#This Row],[Mat. 2]],'Base de Dados'!$I$5:$J$21,2,0),"")</f>
        <v/>
      </c>
      <c r="I277" s="18" t="str">
        <f>IFERROR(VLOOKUP(Tabela1[[#This Row],[Mat. 3]],'Base de Dados'!$I$5:$J$21,2,0),"")</f>
        <v/>
      </c>
      <c r="J277" s="18" t="str">
        <f>IFERROR(VLOOKUP(Tabela1[[#This Row],[Mat. 4]],'Base de Dados'!$I$5:$J$21,2,0),"")</f>
        <v/>
      </c>
      <c r="K277" s="18" t="str">
        <f>IFERROR(VLOOKUP(Tabela1[[#This Row],[Mat. 1]],'Base de Dados'!$I$2:$M$21,5,0),"")</f>
        <v>1º</v>
      </c>
      <c r="L277" s="18" t="s">
        <v>145</v>
      </c>
      <c r="M277" s="18" t="s">
        <v>256</v>
      </c>
      <c r="N277" s="119" t="s">
        <v>553</v>
      </c>
      <c r="O277" s="119">
        <v>5</v>
      </c>
      <c r="P277" s="18">
        <v>0</v>
      </c>
      <c r="Q277" s="45" t="s">
        <v>586</v>
      </c>
      <c r="R277" s="18" t="s">
        <v>34</v>
      </c>
      <c r="S277" s="18" t="str">
        <f>IFERROR(VLOOKUP(Tabela1[[#This Row],[Cód. Causa]],'Base de Dados'!$O$2:$P$21,2,0),"")</f>
        <v>FALHA EM COMPONENTES ELETRONICO</v>
      </c>
      <c r="T277" s="18" t="str">
        <f>IFERROR(VLOOKUP(Tabela1[[#This Row],[Tag]],'Base de Dados'!$B$2:$C$64,2,0),"")</f>
        <v>VIROLA DO TETO 521</v>
      </c>
      <c r="U277" s="18" t="str">
        <f>IFERROR(VLOOKUP(Tabela1[[#This Row],[Tag]],'Base de Dados'!V277:W328,2,0),"")</f>
        <v/>
      </c>
      <c r="V277" s="119">
        <f>DAY(Tabela1[[#This Row],[Data]])</f>
        <v>18</v>
      </c>
      <c r="W277" s="119">
        <f>MONTH(Tabela1[[#This Row],[Data]])</f>
        <v>1</v>
      </c>
      <c r="X277" s="119">
        <f>YEAR(Tabela1[[#This Row],[Data]])</f>
        <v>2023</v>
      </c>
    </row>
    <row r="278" spans="1:24" x14ac:dyDescent="0.25">
      <c r="A278" s="118">
        <v>16070</v>
      </c>
      <c r="B278" s="21">
        <v>44944</v>
      </c>
      <c r="C278" s="23">
        <v>493</v>
      </c>
      <c r="D278" s="24"/>
      <c r="E278" s="24"/>
      <c r="F278" s="24"/>
      <c r="G278" s="18" t="str">
        <f>IFERROR(VLOOKUP(Tabela1[[#This Row],[Mat. 1]],'Base de Dados'!$I$5:$J$21,2,0),"")</f>
        <v>ELIAS</v>
      </c>
      <c r="H278" s="18" t="str">
        <f>IFERROR(VLOOKUP(Tabela1[[#This Row],[Mat. 2]],'Base de Dados'!$I$5:$J$21,2,0),"")</f>
        <v/>
      </c>
      <c r="I278" s="18" t="str">
        <f>IFERROR(VLOOKUP(Tabela1[[#This Row],[Mat. 3]],'Base de Dados'!$I$5:$J$21,2,0),"")</f>
        <v/>
      </c>
      <c r="J278" s="18" t="str">
        <f>IFERROR(VLOOKUP(Tabela1[[#This Row],[Mat. 4]],'Base de Dados'!$I$5:$J$21,2,0),"")</f>
        <v/>
      </c>
      <c r="K278" s="18" t="str">
        <f>IFERROR(VLOOKUP(Tabela1[[#This Row],[Mat. 1]],'Base de Dados'!$I$2:$M$21,5,0),"")</f>
        <v>1º</v>
      </c>
      <c r="L278" s="18" t="s">
        <v>446</v>
      </c>
      <c r="M278" s="18" t="s">
        <v>255</v>
      </c>
      <c r="N278" s="119" t="s">
        <v>553</v>
      </c>
      <c r="O278" s="119">
        <v>3</v>
      </c>
      <c r="P278" s="18">
        <v>0</v>
      </c>
      <c r="Q278" s="45" t="s">
        <v>587</v>
      </c>
      <c r="R278" s="18" t="s">
        <v>116</v>
      </c>
      <c r="S278" s="18" t="str">
        <f>IFERROR(VLOOKUP(Tabela1[[#This Row],[Cód. Causa]],'Base de Dados'!$O$2:$P$21,2,0),"")</f>
        <v xml:space="preserve">EQUIPAMENTO TRABALHANDO COM CARGA EXCESSIVA </v>
      </c>
      <c r="T278" s="18" t="str">
        <f>IFERROR(VLOOKUP(Tabela1[[#This Row],[Tag]],'Base de Dados'!$B$2:$C$64,2,0),"")</f>
        <v/>
      </c>
      <c r="U278" s="18" t="str">
        <f>IFERROR(VLOOKUP(Tabela1[[#This Row],[Tag]],'Base de Dados'!V278:W329,2,0),"")</f>
        <v/>
      </c>
      <c r="V278" s="119">
        <f>DAY(Tabela1[[#This Row],[Data]])</f>
        <v>18</v>
      </c>
      <c r="W278" s="119">
        <f>MONTH(Tabela1[[#This Row],[Data]])</f>
        <v>1</v>
      </c>
      <c r="X278" s="119">
        <f>YEAR(Tabela1[[#This Row],[Data]])</f>
        <v>2023</v>
      </c>
    </row>
    <row r="279" spans="1:24" x14ac:dyDescent="0.25">
      <c r="A279" s="118">
        <v>13943</v>
      </c>
      <c r="B279" s="21">
        <v>44944</v>
      </c>
      <c r="C279" s="23">
        <v>73</v>
      </c>
      <c r="D279" s="24">
        <v>782</v>
      </c>
      <c r="E279" s="24">
        <v>444</v>
      </c>
      <c r="F279" s="24"/>
      <c r="G279" s="18" t="str">
        <f>IFERROR(VLOOKUP(Tabela1[[#This Row],[Mat. 1]],'Base de Dados'!$I$5:$J$21,2,0),"")</f>
        <v>VALDEMAR</v>
      </c>
      <c r="H279" s="18" t="str">
        <f>IFERROR(VLOOKUP(Tabela1[[#This Row],[Mat. 2]],'Base de Dados'!$I$5:$J$21,2,0),"")</f>
        <v>JOSÉ</v>
      </c>
      <c r="I279" s="18" t="str">
        <f>IFERROR(VLOOKUP(Tabela1[[#This Row],[Mat. 3]],'Base de Dados'!$I$5:$J$21,2,0),"")</f>
        <v>EDUARDO</v>
      </c>
      <c r="J279" s="18" t="str">
        <f>IFERROR(VLOOKUP(Tabela1[[#This Row],[Mat. 4]],'Base de Dados'!$I$5:$J$21,2,0),"")</f>
        <v/>
      </c>
      <c r="K279" s="18" t="str">
        <f>IFERROR(VLOOKUP(Tabela1[[#This Row],[Mat. 1]],'Base de Dados'!$I$2:$M$21,5,0),"")</f>
        <v>3º</v>
      </c>
      <c r="L279" s="18" t="s">
        <v>172</v>
      </c>
      <c r="M279" s="18" t="s">
        <v>255</v>
      </c>
      <c r="N279" s="119" t="s">
        <v>553</v>
      </c>
      <c r="O279" s="119">
        <v>16</v>
      </c>
      <c r="P279" s="18">
        <v>0</v>
      </c>
      <c r="Q279" s="45" t="s">
        <v>588</v>
      </c>
      <c r="R279" s="18" t="s">
        <v>116</v>
      </c>
      <c r="S279" s="18" t="str">
        <f>IFERROR(VLOOKUP(Tabela1[[#This Row],[Cód. Causa]],'Base de Dados'!$O$2:$P$21,2,0),"")</f>
        <v xml:space="preserve">EQUIPAMENTO TRABALHANDO COM CARGA EXCESSIVA </v>
      </c>
      <c r="T279" s="18" t="str">
        <f>IFERROR(VLOOKUP(Tabela1[[#This Row],[Tag]],'Base de Dados'!$B$2:$C$64,2,0),"")</f>
        <v>PRENSA DE MOLDAGEM CARPETE</v>
      </c>
      <c r="U279" s="18" t="str">
        <f>IFERROR(VLOOKUP(Tabela1[[#This Row],[Tag]],'Base de Dados'!V279:W330,2,0),"")</f>
        <v/>
      </c>
      <c r="V279" s="119">
        <f>DAY(Tabela1[[#This Row],[Data]])</f>
        <v>18</v>
      </c>
      <c r="W279" s="119">
        <f>MONTH(Tabela1[[#This Row],[Data]])</f>
        <v>1</v>
      </c>
      <c r="X279" s="119">
        <f>YEAR(Tabela1[[#This Row],[Data]])</f>
        <v>2023</v>
      </c>
    </row>
    <row r="280" spans="1:24" x14ac:dyDescent="0.25">
      <c r="A280" s="118">
        <v>13942</v>
      </c>
      <c r="B280" s="21">
        <v>44944</v>
      </c>
      <c r="C280" s="23">
        <v>444</v>
      </c>
      <c r="D280" s="24"/>
      <c r="E280" s="24"/>
      <c r="F280" s="24"/>
      <c r="G280" s="18" t="str">
        <f>IFERROR(VLOOKUP(Tabela1[[#This Row],[Mat. 1]],'Base de Dados'!$I$5:$J$21,2,0),"")</f>
        <v>EDUARDO</v>
      </c>
      <c r="H280" s="18" t="str">
        <f>IFERROR(VLOOKUP(Tabela1[[#This Row],[Mat. 2]],'Base de Dados'!$I$5:$J$21,2,0),"")</f>
        <v/>
      </c>
      <c r="I280" s="18" t="str">
        <f>IFERROR(VLOOKUP(Tabela1[[#This Row],[Mat. 3]],'Base de Dados'!$I$5:$J$21,2,0),"")</f>
        <v/>
      </c>
      <c r="J280" s="18" t="str">
        <f>IFERROR(VLOOKUP(Tabela1[[#This Row],[Mat. 4]],'Base de Dados'!$I$5:$J$21,2,0),"")</f>
        <v/>
      </c>
      <c r="K280" s="18" t="str">
        <f>IFERROR(VLOOKUP(Tabela1[[#This Row],[Mat. 1]],'Base de Dados'!$I$2:$M$21,5,0),"")</f>
        <v>3º</v>
      </c>
      <c r="L280" s="18" t="s">
        <v>141</v>
      </c>
      <c r="M280" s="18" t="s">
        <v>255</v>
      </c>
      <c r="N280" s="119" t="s">
        <v>553</v>
      </c>
      <c r="O280" s="119">
        <v>14</v>
      </c>
      <c r="P280" s="18">
        <v>0</v>
      </c>
      <c r="Q280" s="45" t="s">
        <v>260</v>
      </c>
      <c r="R280" s="18" t="s">
        <v>116</v>
      </c>
      <c r="S280" s="18" t="str">
        <f>IFERROR(VLOOKUP(Tabela1[[#This Row],[Cód. Causa]],'Base de Dados'!$O$2:$P$21,2,0),"")</f>
        <v xml:space="preserve">EQUIPAMENTO TRABALHANDO COM CARGA EXCESSIVA </v>
      </c>
      <c r="T280" s="18" t="str">
        <f>IFERROR(VLOOKUP(Tabela1[[#This Row],[Tag]],'Base de Dados'!$B$2:$C$64,2,0),"")</f>
        <v>CORTE DO TETO  - WATER JET 2</v>
      </c>
      <c r="U280" s="18" t="str">
        <f>IFERROR(VLOOKUP(Tabela1[[#This Row],[Tag]],'Base de Dados'!V280:W331,2,0),"")</f>
        <v/>
      </c>
      <c r="V280" s="119">
        <f>DAY(Tabela1[[#This Row],[Data]])</f>
        <v>18</v>
      </c>
      <c r="W280" s="119">
        <f>MONTH(Tabela1[[#This Row],[Data]])</f>
        <v>1</v>
      </c>
      <c r="X280" s="119">
        <f>YEAR(Tabela1[[#This Row],[Data]])</f>
        <v>2023</v>
      </c>
    </row>
    <row r="281" spans="1:24" x14ac:dyDescent="0.25">
      <c r="A281" s="118">
        <v>13944</v>
      </c>
      <c r="B281" s="21">
        <v>44944</v>
      </c>
      <c r="C281" s="23">
        <v>73</v>
      </c>
      <c r="D281" s="24"/>
      <c r="E281" s="24"/>
      <c r="F281" s="24"/>
      <c r="G281" s="18" t="str">
        <f>IFERROR(VLOOKUP(Tabela1[[#This Row],[Mat. 1]],'Base de Dados'!$I$5:$J$21,2,0),"")</f>
        <v>VALDEMAR</v>
      </c>
      <c r="H281" s="18" t="str">
        <f>IFERROR(VLOOKUP(Tabela1[[#This Row],[Mat. 2]],'Base de Dados'!$I$5:$J$21,2,0),"")</f>
        <v/>
      </c>
      <c r="I281" s="18" t="str">
        <f>IFERROR(VLOOKUP(Tabela1[[#This Row],[Mat. 3]],'Base de Dados'!$I$5:$J$21,2,0),"")</f>
        <v/>
      </c>
      <c r="J281" s="18" t="str">
        <f>IFERROR(VLOOKUP(Tabela1[[#This Row],[Mat. 4]],'Base de Dados'!$I$5:$J$21,2,0),"")</f>
        <v/>
      </c>
      <c r="K281" s="18" t="str">
        <f>IFERROR(VLOOKUP(Tabela1[[#This Row],[Mat. 1]],'Base de Dados'!$I$2:$M$21,5,0),"")</f>
        <v>3º</v>
      </c>
      <c r="L281" s="18" t="s">
        <v>141</v>
      </c>
      <c r="M281" s="18" t="s">
        <v>255</v>
      </c>
      <c r="N281" s="119" t="s">
        <v>553</v>
      </c>
      <c r="O281" s="119">
        <v>47</v>
      </c>
      <c r="P281" s="18">
        <v>0</v>
      </c>
      <c r="Q281" s="45" t="s">
        <v>589</v>
      </c>
      <c r="R281" s="18" t="s">
        <v>116</v>
      </c>
      <c r="S281" s="18" t="str">
        <f>IFERROR(VLOOKUP(Tabela1[[#This Row],[Cód. Causa]],'Base de Dados'!$O$2:$P$21,2,0),"")</f>
        <v xml:space="preserve">EQUIPAMENTO TRABALHANDO COM CARGA EXCESSIVA </v>
      </c>
      <c r="T281" s="18" t="str">
        <f>IFERROR(VLOOKUP(Tabela1[[#This Row],[Tag]],'Base de Dados'!$B$2:$C$64,2,0),"")</f>
        <v>CORTE DO TETO  - WATER JET 2</v>
      </c>
      <c r="U281" s="18" t="str">
        <f>IFERROR(VLOOKUP(Tabela1[[#This Row],[Tag]],'Base de Dados'!V281:W332,2,0),"")</f>
        <v/>
      </c>
      <c r="V281" s="119">
        <f>DAY(Tabela1[[#This Row],[Data]])</f>
        <v>18</v>
      </c>
      <c r="W281" s="119">
        <f>MONTH(Tabela1[[#This Row],[Data]])</f>
        <v>1</v>
      </c>
      <c r="X281" s="119">
        <f>YEAR(Tabela1[[#This Row],[Data]])</f>
        <v>2023</v>
      </c>
    </row>
    <row r="282" spans="1:24" x14ac:dyDescent="0.25">
      <c r="A282" s="120" t="s">
        <v>591</v>
      </c>
      <c r="B282" s="21">
        <v>44944</v>
      </c>
      <c r="C282" s="23">
        <v>677</v>
      </c>
      <c r="D282" s="24">
        <v>248</v>
      </c>
      <c r="E282" s="24">
        <v>540</v>
      </c>
      <c r="F282" s="24">
        <v>631</v>
      </c>
      <c r="G282" s="18" t="str">
        <f>IFERROR(VLOOKUP(Tabela1[[#This Row],[Mat. 1]],'Base de Dados'!$I$5:$J$21,2,0),"")</f>
        <v>RAFAEL</v>
      </c>
      <c r="H282" s="18" t="str">
        <f>IFERROR(VLOOKUP(Tabela1[[#This Row],[Mat. 2]],'Base de Dados'!$I$5:$J$21,2,0),"")</f>
        <v>RUIGUENS</v>
      </c>
      <c r="I282" s="18" t="str">
        <f>IFERROR(VLOOKUP(Tabela1[[#This Row],[Mat. 3]],'Base de Dados'!$I$5:$J$21,2,0),"")</f>
        <v>ANDERSON</v>
      </c>
      <c r="J282" s="18" t="str">
        <f>IFERROR(VLOOKUP(Tabela1[[#This Row],[Mat. 4]],'Base de Dados'!$I$5:$J$21,2,0),"")</f>
        <v>JOSINALDO</v>
      </c>
      <c r="K282" s="18" t="str">
        <f>IFERROR(VLOOKUP(Tabela1[[#This Row],[Mat. 1]],'Base de Dados'!$I$2:$M$21,5,0),"")</f>
        <v>2º</v>
      </c>
      <c r="L282" s="18" t="s">
        <v>98</v>
      </c>
      <c r="M282" s="18" t="s">
        <v>255</v>
      </c>
      <c r="N282" s="119" t="s">
        <v>257</v>
      </c>
      <c r="O282" s="119">
        <v>0</v>
      </c>
      <c r="P282" s="18">
        <v>40</v>
      </c>
      <c r="Q282" s="45" t="s">
        <v>257</v>
      </c>
      <c r="R282" s="18" t="s">
        <v>19</v>
      </c>
      <c r="S282" s="18" t="str">
        <f>IFERROR(VLOOKUP(Tabela1[[#This Row],[Cód. Causa]],'Base de Dados'!$O$2:$P$21,2,0),"")</f>
        <v>INFLUENCIA EXTERNA</v>
      </c>
      <c r="T282" s="18" t="str">
        <f>IFERROR(VLOOKUP(Tabela1[[#This Row],[Tag]],'Base de Dados'!$B$2:$C$64,2,0),"")</f>
        <v>PRENSA MOLDAGEM 1</v>
      </c>
      <c r="U282" s="18" t="str">
        <f>IFERROR(VLOOKUP(Tabela1[[#This Row],[Tag]],'Base de Dados'!V282:W333,2,0),"")</f>
        <v/>
      </c>
      <c r="V282" s="119">
        <f>DAY(Tabela1[[#This Row],[Data]])</f>
        <v>18</v>
      </c>
      <c r="W282" s="119">
        <f>MONTH(Tabela1[[#This Row],[Data]])</f>
        <v>1</v>
      </c>
      <c r="X282" s="119">
        <f>YEAR(Tabela1[[#This Row],[Data]])</f>
        <v>2023</v>
      </c>
    </row>
    <row r="283" spans="1:24" x14ac:dyDescent="0.25">
      <c r="A283" s="120">
        <v>13937</v>
      </c>
      <c r="B283" s="21">
        <v>44943</v>
      </c>
      <c r="C283" s="23">
        <v>739</v>
      </c>
      <c r="D283" s="24"/>
      <c r="E283" s="24"/>
      <c r="F283" s="24"/>
      <c r="G283" s="18" t="str">
        <f>IFERROR(VLOOKUP(Tabela1[[#This Row],[Mat. 1]],'Base de Dados'!$I$5:$J$21,2,0),"")</f>
        <v>DANILLO</v>
      </c>
      <c r="H283" s="18" t="str">
        <f>IFERROR(VLOOKUP(Tabela1[[#This Row],[Mat. 2]],'Base de Dados'!$I$5:$J$21,2,0),"")</f>
        <v/>
      </c>
      <c r="I283" s="18" t="str">
        <f>IFERROR(VLOOKUP(Tabela1[[#This Row],[Mat. 3]],'Base de Dados'!$I$5:$J$21,2,0),"")</f>
        <v/>
      </c>
      <c r="J283" s="18" t="str">
        <f>IFERROR(VLOOKUP(Tabela1[[#This Row],[Mat. 4]],'Base de Dados'!$I$5:$J$21,2,0),"")</f>
        <v/>
      </c>
      <c r="K283" s="18" t="str">
        <f>IFERROR(VLOOKUP(Tabela1[[#This Row],[Mat. 1]],'Base de Dados'!$I$2:$M$21,5,0),"")</f>
        <v>1º</v>
      </c>
      <c r="L283" s="18" t="s">
        <v>160</v>
      </c>
      <c r="M283" s="18" t="s">
        <v>310</v>
      </c>
      <c r="N283" s="119" t="s">
        <v>553</v>
      </c>
      <c r="O283" s="119">
        <v>20</v>
      </c>
      <c r="P283" s="18">
        <v>0</v>
      </c>
      <c r="Q283" s="45" t="s">
        <v>592</v>
      </c>
      <c r="R283" s="18" t="s">
        <v>116</v>
      </c>
      <c r="S283" s="18" t="str">
        <f>IFERROR(VLOOKUP(Tabela1[[#This Row],[Cód. Causa]],'Base de Dados'!$O$2:$P$21,2,0),"")</f>
        <v xml:space="preserve">EQUIPAMENTO TRABALHANDO COM CARGA EXCESSIVA </v>
      </c>
      <c r="T283" s="18" t="str">
        <f>IFERROR(VLOOKUP(Tabela1[[#This Row],[Tag]],'Base de Dados'!$B$2:$C$64,2,0),"")</f>
        <v xml:space="preserve">PRENSA CORTE PARCEL SHELF </v>
      </c>
      <c r="U283" s="18" t="str">
        <f>IFERROR(VLOOKUP(Tabela1[[#This Row],[Tag]],'Base de Dados'!V283:W334,2,0),"")</f>
        <v/>
      </c>
      <c r="V283" s="119">
        <f>DAY(Tabela1[[#This Row],[Data]])</f>
        <v>17</v>
      </c>
      <c r="W283" s="119">
        <f>MONTH(Tabela1[[#This Row],[Data]])</f>
        <v>1</v>
      </c>
      <c r="X283" s="119">
        <f>YEAR(Tabela1[[#This Row],[Data]])</f>
        <v>2023</v>
      </c>
    </row>
    <row r="284" spans="1:24" x14ac:dyDescent="0.25">
      <c r="A284" s="120">
        <v>13934</v>
      </c>
      <c r="B284" s="21">
        <v>44943</v>
      </c>
      <c r="C284" s="23">
        <v>73</v>
      </c>
      <c r="D284" s="24">
        <v>782</v>
      </c>
      <c r="E284" s="24"/>
      <c r="F284" s="24"/>
      <c r="G284" s="18" t="str">
        <f>IFERROR(VLOOKUP(Tabela1[[#This Row],[Mat. 1]],'Base de Dados'!$I$5:$J$21,2,0),"")</f>
        <v>VALDEMAR</v>
      </c>
      <c r="H284" s="18" t="str">
        <f>IFERROR(VLOOKUP(Tabela1[[#This Row],[Mat. 2]],'Base de Dados'!$I$5:$J$21,2,0),"")</f>
        <v>JOSÉ</v>
      </c>
      <c r="I284" s="18" t="str">
        <f>IFERROR(VLOOKUP(Tabela1[[#This Row],[Mat. 3]],'Base de Dados'!$I$5:$J$21,2,0),"")</f>
        <v/>
      </c>
      <c r="J284" s="18" t="str">
        <f>IFERROR(VLOOKUP(Tabela1[[#This Row],[Mat. 4]],'Base de Dados'!$I$5:$J$21,2,0),"")</f>
        <v/>
      </c>
      <c r="K284" s="18" t="str">
        <f>IFERROR(VLOOKUP(Tabela1[[#This Row],[Mat. 1]],'Base de Dados'!$I$2:$M$21,5,0),"")</f>
        <v>3º</v>
      </c>
      <c r="L284" s="18" t="s">
        <v>172</v>
      </c>
      <c r="M284" s="18" t="s">
        <v>313</v>
      </c>
      <c r="N284" s="119" t="s">
        <v>553</v>
      </c>
      <c r="O284" s="119">
        <v>60</v>
      </c>
      <c r="P284" s="18">
        <v>0</v>
      </c>
      <c r="Q284" s="45" t="s">
        <v>593</v>
      </c>
      <c r="R284" s="18" t="s">
        <v>116</v>
      </c>
      <c r="S284" s="18" t="str">
        <f>IFERROR(VLOOKUP(Tabela1[[#This Row],[Cód. Causa]],'Base de Dados'!$O$2:$P$21,2,0),"")</f>
        <v xml:space="preserve">EQUIPAMENTO TRABALHANDO COM CARGA EXCESSIVA </v>
      </c>
      <c r="T284" s="18" t="str">
        <f>IFERROR(VLOOKUP(Tabela1[[#This Row],[Tag]],'Base de Dados'!$B$2:$C$64,2,0),"")</f>
        <v>PRENSA DE MOLDAGEM CARPETE</v>
      </c>
      <c r="U284" s="18" t="str">
        <f>IFERROR(VLOOKUP(Tabela1[[#This Row],[Tag]],'Base de Dados'!V284:W335,2,0),"")</f>
        <v/>
      </c>
      <c r="V284" s="119">
        <f>DAY(Tabela1[[#This Row],[Data]])</f>
        <v>17</v>
      </c>
      <c r="W284" s="119">
        <f>MONTH(Tabela1[[#This Row],[Data]])</f>
        <v>1</v>
      </c>
      <c r="X284" s="119">
        <f>YEAR(Tabela1[[#This Row],[Data]])</f>
        <v>2023</v>
      </c>
    </row>
    <row r="285" spans="1:24" x14ac:dyDescent="0.25">
      <c r="A285" s="120">
        <v>13935</v>
      </c>
      <c r="B285" s="21">
        <v>44943</v>
      </c>
      <c r="C285" s="23">
        <v>73</v>
      </c>
      <c r="D285" s="24">
        <v>782</v>
      </c>
      <c r="E285" s="24"/>
      <c r="F285" s="24"/>
      <c r="G285" s="18" t="str">
        <f>IFERROR(VLOOKUP(Tabela1[[#This Row],[Mat. 1]],'Base de Dados'!$I$5:$J$21,2,0),"")</f>
        <v>VALDEMAR</v>
      </c>
      <c r="H285" s="18" t="str">
        <f>IFERROR(VLOOKUP(Tabela1[[#This Row],[Mat. 2]],'Base de Dados'!$I$5:$J$21,2,0),"")</f>
        <v>JOSÉ</v>
      </c>
      <c r="I285" s="18" t="str">
        <f>IFERROR(VLOOKUP(Tabela1[[#This Row],[Mat. 3]],'Base de Dados'!$I$5:$J$21,2,0),"")</f>
        <v/>
      </c>
      <c r="J285" s="18" t="str">
        <f>IFERROR(VLOOKUP(Tabela1[[#This Row],[Mat. 4]],'Base de Dados'!$I$5:$J$21,2,0),"")</f>
        <v/>
      </c>
      <c r="K285" s="18" t="str">
        <f>IFERROR(VLOOKUP(Tabela1[[#This Row],[Mat. 1]],'Base de Dados'!$I$2:$M$21,5,0),"")</f>
        <v>3º</v>
      </c>
      <c r="L285" s="18" t="s">
        <v>187</v>
      </c>
      <c r="M285" s="18" t="s">
        <v>310</v>
      </c>
      <c r="N285" s="119" t="s">
        <v>553</v>
      </c>
      <c r="O285" s="119">
        <v>7</v>
      </c>
      <c r="P285" s="18">
        <v>0</v>
      </c>
      <c r="Q285" s="45" t="s">
        <v>594</v>
      </c>
      <c r="R285" s="18" t="s">
        <v>34</v>
      </c>
      <c r="S285" s="18" t="str">
        <f>IFERROR(VLOOKUP(Tabela1[[#This Row],[Cód. Causa]],'Base de Dados'!$O$2:$P$21,2,0),"")</f>
        <v>FALHA EM COMPONENTES ELETRONICO</v>
      </c>
      <c r="T285" s="18" t="str">
        <f>IFERROR(VLOOKUP(Tabela1[[#This Row],[Tag]],'Base de Dados'!$B$2:$C$64,2,0),"")</f>
        <v>CORTE DO CARPETE- WATER JET</v>
      </c>
      <c r="U285" s="18" t="str">
        <f>IFERROR(VLOOKUP(Tabela1[[#This Row],[Tag]],'Base de Dados'!V285:W336,2,0),"")</f>
        <v/>
      </c>
      <c r="V285" s="119">
        <f>DAY(Tabela1[[#This Row],[Data]])</f>
        <v>17</v>
      </c>
      <c r="W285" s="119">
        <f>MONTH(Tabela1[[#This Row],[Data]])</f>
        <v>1</v>
      </c>
      <c r="X285" s="119">
        <f>YEAR(Tabela1[[#This Row],[Data]])</f>
        <v>2023</v>
      </c>
    </row>
    <row r="286" spans="1:24" ht="30" x14ac:dyDescent="0.25">
      <c r="A286" s="120">
        <v>13936</v>
      </c>
      <c r="B286" s="21">
        <v>44943</v>
      </c>
      <c r="C286" s="23">
        <v>73</v>
      </c>
      <c r="D286" s="24"/>
      <c r="E286" s="24"/>
      <c r="F286" s="24"/>
      <c r="G286" s="18" t="str">
        <f>IFERROR(VLOOKUP(Tabela1[[#This Row],[Mat. 1]],'Base de Dados'!$I$5:$J$21,2,0),"")</f>
        <v>VALDEMAR</v>
      </c>
      <c r="H286" s="18" t="str">
        <f>IFERROR(VLOOKUP(Tabela1[[#This Row],[Mat. 2]],'Base de Dados'!$I$5:$J$21,2,0),"")</f>
        <v/>
      </c>
      <c r="I286" s="18" t="str">
        <f>IFERROR(VLOOKUP(Tabela1[[#This Row],[Mat. 3]],'Base de Dados'!$I$5:$J$21,2,0),"")</f>
        <v/>
      </c>
      <c r="J286" s="18" t="str">
        <f>IFERROR(VLOOKUP(Tabela1[[#This Row],[Mat. 4]],'Base de Dados'!$I$5:$J$21,2,0),"")</f>
        <v/>
      </c>
      <c r="K286" s="18" t="str">
        <f>IFERROR(VLOOKUP(Tabela1[[#This Row],[Mat. 1]],'Base de Dados'!$I$2:$M$21,5,0),"")</f>
        <v>3º</v>
      </c>
      <c r="L286" s="18" t="s">
        <v>185</v>
      </c>
      <c r="M286" s="18" t="s">
        <v>313</v>
      </c>
      <c r="N286" s="119" t="s">
        <v>553</v>
      </c>
      <c r="O286" s="119">
        <v>45</v>
      </c>
      <c r="P286" s="18">
        <v>0</v>
      </c>
      <c r="Q286" s="45" t="s">
        <v>595</v>
      </c>
      <c r="R286" s="18" t="s">
        <v>116</v>
      </c>
      <c r="S286" s="18" t="str">
        <f>IFERROR(VLOOKUP(Tabela1[[#This Row],[Cód. Causa]],'Base de Dados'!$O$2:$P$21,2,0),"")</f>
        <v xml:space="preserve">EQUIPAMENTO TRABALHANDO COM CARGA EXCESSIVA </v>
      </c>
      <c r="T286" s="18" t="str">
        <f>IFERROR(VLOOKUP(Tabela1[[#This Row],[Tag]],'Base de Dados'!$B$2:$C$64,2,0),"")</f>
        <v>CORTE DO CARPETE- WATER JET</v>
      </c>
      <c r="U286" s="18" t="str">
        <f>IFERROR(VLOOKUP(Tabela1[[#This Row],[Tag]],'Base de Dados'!V286:W337,2,0),"")</f>
        <v/>
      </c>
      <c r="V286" s="119">
        <f>DAY(Tabela1[[#This Row],[Data]])</f>
        <v>17</v>
      </c>
      <c r="W286" s="119">
        <f>MONTH(Tabela1[[#This Row],[Data]])</f>
        <v>1</v>
      </c>
      <c r="X286" s="119">
        <f>YEAR(Tabela1[[#This Row],[Data]])</f>
        <v>2023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X116"/>
  <sheetViews>
    <sheetView zoomScaleNormal="100" workbookViewId="0">
      <selection activeCell="V1" sqref="V1:X21"/>
    </sheetView>
  </sheetViews>
  <sheetFormatPr defaultRowHeight="15" x14ac:dyDescent="0.25"/>
  <cols>
    <col min="1" max="1" width="3.140625" customWidth="1"/>
    <col min="2" max="2" width="30.5703125" bestFit="1" customWidth="1"/>
    <col min="3" max="4" width="8.28515625" customWidth="1"/>
    <col min="5" max="5" width="7" customWidth="1"/>
    <col min="6" max="6" width="17.5703125" bestFit="1" customWidth="1"/>
    <col min="7" max="7" width="2.85546875" customWidth="1"/>
    <col min="8" max="8" width="18" customWidth="1"/>
    <col min="9" max="9" width="22" bestFit="1" customWidth="1"/>
    <col min="10" max="10" width="3.42578125" customWidth="1"/>
    <col min="11" max="11" width="28.85546875" customWidth="1"/>
    <col min="12" max="12" width="22" bestFit="1" customWidth="1"/>
    <col min="13" max="13" width="27.28515625" bestFit="1" customWidth="1"/>
    <col min="14" max="14" width="10.7109375" bestFit="1" customWidth="1"/>
    <col min="17" max="17" width="26.42578125" bestFit="1" customWidth="1"/>
    <col min="19" max="19" width="22" customWidth="1"/>
    <col min="20" max="20" width="21" customWidth="1"/>
    <col min="21" max="21" width="25.28515625" customWidth="1"/>
    <col min="22" max="22" width="5.5703125" style="18" bestFit="1" customWidth="1"/>
    <col min="23" max="23" width="14.7109375" style="18" bestFit="1" customWidth="1"/>
    <col min="24" max="24" width="8" style="18" bestFit="1" customWidth="1"/>
    <col min="25" max="25" width="30.42578125" customWidth="1"/>
    <col min="26" max="26" width="37" customWidth="1"/>
    <col min="27" max="27" width="36.140625" customWidth="1"/>
    <col min="28" max="28" width="26.28515625" customWidth="1"/>
    <col min="29" max="29" width="25.28515625" customWidth="1"/>
    <col min="30" max="30" width="31.5703125" customWidth="1"/>
    <col min="31" max="31" width="30.7109375" customWidth="1"/>
    <col min="32" max="32" width="26.28515625" customWidth="1"/>
    <col min="33" max="33" width="25.28515625" customWidth="1"/>
    <col min="34" max="34" width="36.140625" customWidth="1"/>
    <col min="35" max="35" width="35.28515625" customWidth="1"/>
    <col min="36" max="36" width="26.28515625" customWidth="1"/>
    <col min="37" max="37" width="25.28515625" customWidth="1"/>
    <col min="38" max="38" width="31" customWidth="1"/>
    <col min="39" max="39" width="30.140625" customWidth="1"/>
    <col min="40" max="40" width="26.28515625" customWidth="1"/>
    <col min="41" max="41" width="25.28515625" customWidth="1"/>
    <col min="42" max="42" width="33.42578125" customWidth="1"/>
    <col min="43" max="43" width="32.5703125" customWidth="1"/>
    <col min="44" max="44" width="26.28515625" customWidth="1"/>
    <col min="45" max="45" width="25.28515625" customWidth="1"/>
    <col min="46" max="46" width="33.85546875" customWidth="1"/>
    <col min="47" max="47" width="32.85546875" customWidth="1"/>
    <col min="48" max="48" width="26.28515625" customWidth="1"/>
    <col min="49" max="49" width="25.28515625" customWidth="1"/>
    <col min="50" max="50" width="35.85546875" customWidth="1"/>
    <col min="51" max="51" width="35" customWidth="1"/>
    <col min="52" max="52" width="26.28515625" customWidth="1"/>
    <col min="53" max="53" width="25.28515625" customWidth="1"/>
    <col min="54" max="54" width="36.42578125" customWidth="1"/>
    <col min="55" max="55" width="35.5703125" customWidth="1"/>
    <col min="56" max="56" width="31.28515625" customWidth="1"/>
    <col min="57" max="57" width="30.42578125" customWidth="1"/>
    <col min="58" max="58" width="26.28515625" customWidth="1"/>
    <col min="59" max="59" width="25.28515625" customWidth="1"/>
    <col min="60" max="60" width="26.7109375" customWidth="1"/>
    <col min="61" max="61" width="25.85546875" customWidth="1"/>
    <col min="62" max="62" width="35.85546875" customWidth="1"/>
    <col min="63" max="63" width="35" customWidth="1"/>
    <col min="64" max="64" width="26.28515625" customWidth="1"/>
    <col min="65" max="65" width="25.28515625" customWidth="1"/>
    <col min="66" max="66" width="26.7109375" customWidth="1"/>
    <col min="67" max="67" width="25.85546875" customWidth="1"/>
    <col min="68" max="68" width="31.5703125" customWidth="1"/>
    <col min="69" max="69" width="30.7109375" customWidth="1"/>
    <col min="70" max="70" width="26.28515625" customWidth="1"/>
    <col min="71" max="71" width="25.28515625" customWidth="1"/>
    <col min="72" max="72" width="26.7109375" customWidth="1"/>
    <col min="73" max="73" width="25.85546875" customWidth="1"/>
    <col min="74" max="74" width="32.42578125" customWidth="1"/>
    <col min="75" max="75" width="31.5703125" customWidth="1"/>
    <col min="76" max="76" width="26.28515625" customWidth="1"/>
    <col min="77" max="77" width="25.28515625" customWidth="1"/>
    <col min="78" max="78" width="26.7109375" customWidth="1"/>
    <col min="79" max="79" width="25.85546875" customWidth="1"/>
    <col min="80" max="80" width="36.140625" customWidth="1"/>
    <col min="81" max="81" width="35.28515625" customWidth="1"/>
    <col min="82" max="82" width="26.28515625" customWidth="1"/>
    <col min="83" max="83" width="25.28515625" customWidth="1"/>
    <col min="84" max="84" width="26.7109375" customWidth="1"/>
    <col min="85" max="85" width="25.85546875" customWidth="1"/>
    <col min="86" max="86" width="31" customWidth="1"/>
    <col min="87" max="87" width="30.140625" customWidth="1"/>
    <col min="88" max="88" width="26.28515625" customWidth="1"/>
    <col min="89" max="89" width="25.28515625" customWidth="1"/>
    <col min="90" max="90" width="26.7109375" customWidth="1"/>
    <col min="91" max="91" width="25.85546875" customWidth="1"/>
    <col min="92" max="92" width="26.28515625" customWidth="1"/>
    <col min="93" max="93" width="25.28515625" customWidth="1"/>
    <col min="94" max="94" width="33.42578125" customWidth="1"/>
    <col min="95" max="95" width="32.5703125" customWidth="1"/>
    <col min="96" max="96" width="26.28515625" customWidth="1"/>
    <col min="97" max="97" width="25.28515625" customWidth="1"/>
    <col min="98" max="98" width="35.85546875" customWidth="1"/>
    <col min="99" max="99" width="35" customWidth="1"/>
    <col min="100" max="100" width="37" customWidth="1"/>
    <col min="101" max="101" width="36.140625" customWidth="1"/>
    <col min="102" max="102" width="26.28515625" customWidth="1"/>
    <col min="103" max="103" width="25.28515625" customWidth="1"/>
    <col min="104" max="104" width="26.28515625" customWidth="1"/>
    <col min="105" max="105" width="25.28515625" customWidth="1"/>
    <col min="106" max="106" width="26.7109375" customWidth="1"/>
    <col min="107" max="107" width="25.85546875" customWidth="1"/>
    <col min="108" max="108" width="26.28515625" customWidth="1"/>
    <col min="109" max="109" width="25.28515625" customWidth="1"/>
    <col min="110" max="110" width="36.42578125" bestFit="1" customWidth="1"/>
    <col min="111" max="111" width="35.5703125" customWidth="1"/>
    <col min="112" max="112" width="33.42578125" customWidth="1"/>
    <col min="113" max="113" width="32.5703125" customWidth="1"/>
    <col min="114" max="114" width="26.28515625" customWidth="1"/>
    <col min="115" max="115" width="25.28515625" customWidth="1"/>
    <col min="116" max="116" width="26.7109375" customWidth="1"/>
    <col min="117" max="117" width="25.85546875" customWidth="1"/>
    <col min="118" max="118" width="33.85546875" customWidth="1"/>
    <col min="119" max="119" width="32.85546875" customWidth="1"/>
    <col min="120" max="120" width="26.28515625" customWidth="1"/>
    <col min="121" max="121" width="25.28515625" customWidth="1"/>
    <col min="122" max="122" width="26.7109375" customWidth="1"/>
    <col min="123" max="123" width="25.85546875" customWidth="1"/>
    <col min="124" max="124" width="35.85546875" customWidth="1"/>
    <col min="125" max="125" width="35" customWidth="1"/>
    <col min="126" max="126" width="26.28515625" customWidth="1"/>
    <col min="127" max="127" width="25.28515625" customWidth="1"/>
    <col min="128" max="128" width="26.7109375" customWidth="1"/>
    <col min="129" max="129" width="25.85546875" customWidth="1"/>
    <col min="130" max="130" width="26.28515625" customWidth="1"/>
    <col min="131" max="131" width="25.28515625" customWidth="1"/>
    <col min="132" max="132" width="37" customWidth="1"/>
    <col min="133" max="133" width="36.140625" customWidth="1"/>
    <col min="134" max="134" width="26.28515625" customWidth="1"/>
    <col min="135" max="135" width="25.28515625" customWidth="1"/>
    <col min="136" max="136" width="33.42578125" customWidth="1"/>
    <col min="137" max="137" width="32.5703125" customWidth="1"/>
    <col min="138" max="138" width="26.28515625" customWidth="1"/>
    <col min="139" max="139" width="25.28515625" customWidth="1"/>
    <col min="140" max="140" width="35.85546875" customWidth="1"/>
    <col min="141" max="141" width="35" customWidth="1"/>
    <col min="142" max="142" width="36.42578125" customWidth="1"/>
    <col min="143" max="143" width="35.5703125" customWidth="1"/>
    <col min="144" max="144" width="26.28515625" customWidth="1"/>
    <col min="145" max="145" width="25.28515625" customWidth="1"/>
    <col min="146" max="146" width="26.7109375" customWidth="1"/>
    <col min="147" max="147" width="25.85546875" customWidth="1"/>
    <col min="148" max="148" width="26.28515625" customWidth="1"/>
    <col min="149" max="149" width="25.28515625" customWidth="1"/>
    <col min="150" max="150" width="36.140625" customWidth="1"/>
    <col min="151" max="151" width="35.28515625" customWidth="1"/>
    <col min="152" max="152" width="32.5703125" customWidth="1"/>
    <col min="153" max="153" width="31.7109375" customWidth="1"/>
    <col min="154" max="154" width="26.28515625" customWidth="1"/>
    <col min="155" max="155" width="25.28515625" customWidth="1"/>
    <col min="156" max="156" width="26.7109375" customWidth="1"/>
    <col min="157" max="157" width="25.85546875" customWidth="1"/>
    <col min="158" max="158" width="26.28515625" customWidth="1"/>
    <col min="159" max="159" width="25.28515625" customWidth="1"/>
    <col min="160" max="160" width="31" customWidth="1"/>
    <col min="161" max="161" width="30.140625" customWidth="1"/>
    <col min="162" max="162" width="37" customWidth="1"/>
    <col min="163" max="163" width="36.140625" customWidth="1"/>
    <col min="164" max="164" width="31.28515625" customWidth="1"/>
    <col min="165" max="165" width="30.42578125" customWidth="1"/>
    <col min="166" max="166" width="31.5703125" customWidth="1"/>
    <col min="167" max="167" width="36.5703125" customWidth="1"/>
    <col min="168" max="168" width="35.7109375" customWidth="1"/>
    <col min="169" max="169" width="26.28515625" customWidth="1"/>
    <col min="170" max="170" width="26.28515625" bestFit="1" customWidth="1"/>
    <col min="171" max="171" width="26.7109375" customWidth="1"/>
    <col min="172" max="172" width="25.85546875" customWidth="1"/>
    <col min="173" max="173" width="36.5703125" customWidth="1"/>
    <col min="174" max="174" width="35.7109375" customWidth="1"/>
    <col min="175" max="175" width="26.28515625" bestFit="1" customWidth="1"/>
    <col min="176" max="176" width="26.28515625" customWidth="1"/>
    <col min="177" max="177" width="26.7109375" customWidth="1"/>
    <col min="178" max="178" width="25.85546875" customWidth="1"/>
    <col min="179" max="179" width="33.85546875" customWidth="1"/>
    <col min="180" max="180" width="32.85546875" customWidth="1"/>
    <col min="181" max="181" width="34.7109375" bestFit="1" customWidth="1"/>
    <col min="182" max="182" width="33.85546875" customWidth="1"/>
    <col min="183" max="184" width="26.28515625" customWidth="1"/>
    <col min="185" max="185" width="26.7109375" customWidth="1"/>
    <col min="186" max="186" width="25.85546875" customWidth="1"/>
    <col min="187" max="188" width="26.28515625" customWidth="1"/>
    <col min="189" max="189" width="31" customWidth="1"/>
    <col min="190" max="190" width="30.140625" customWidth="1"/>
    <col min="191" max="191" width="37" customWidth="1"/>
    <col min="192" max="192" width="36.140625" customWidth="1"/>
    <col min="193" max="193" width="35.85546875" customWidth="1"/>
    <col min="194" max="194" width="35" customWidth="1"/>
    <col min="195" max="196" width="26.28515625" customWidth="1"/>
    <col min="197" max="197" width="26.7109375" customWidth="1"/>
    <col min="198" max="198" width="25.85546875" bestFit="1" customWidth="1"/>
    <col min="199" max="199" width="36.140625" bestFit="1" customWidth="1"/>
    <col min="200" max="200" width="35.28515625" bestFit="1" customWidth="1"/>
    <col min="201" max="201" width="31.5703125" bestFit="1" customWidth="1"/>
    <col min="202" max="202" width="30.7109375" bestFit="1" customWidth="1"/>
    <col min="203" max="204" width="26.28515625" bestFit="1" customWidth="1"/>
    <col min="205" max="205" width="26.7109375" bestFit="1" customWidth="1"/>
    <col min="206" max="206" width="25.85546875" bestFit="1" customWidth="1"/>
    <col min="207" max="208" width="26.28515625" bestFit="1" customWidth="1"/>
    <col min="209" max="209" width="33.85546875" bestFit="1" customWidth="1"/>
    <col min="210" max="210" width="32.85546875" bestFit="1" customWidth="1"/>
    <col min="211" max="211" width="34.7109375" bestFit="1" customWidth="1"/>
    <col min="212" max="212" width="33.85546875" bestFit="1" customWidth="1"/>
    <col min="213" max="213" width="32.42578125" bestFit="1" customWidth="1"/>
    <col min="214" max="214" width="31.5703125" bestFit="1" customWidth="1"/>
    <col min="215" max="216" width="26.28515625" bestFit="1" customWidth="1"/>
    <col min="217" max="217" width="26.7109375" bestFit="1" customWidth="1"/>
    <col min="218" max="218" width="25.85546875" bestFit="1" customWidth="1"/>
    <col min="219" max="220" width="26.28515625" bestFit="1" customWidth="1"/>
    <col min="221" max="221" width="31.5703125" bestFit="1" customWidth="1"/>
    <col min="222" max="222" width="30.7109375" bestFit="1" customWidth="1"/>
    <col min="223" max="223" width="34.7109375" bestFit="1" customWidth="1"/>
    <col min="224" max="224" width="33.85546875" bestFit="1" customWidth="1"/>
    <col min="225" max="226" width="26.28515625" bestFit="1" customWidth="1"/>
    <col min="227" max="227" width="26.7109375" bestFit="1" customWidth="1"/>
    <col min="228" max="228" width="25.85546875" bestFit="1" customWidth="1"/>
    <col min="229" max="229" width="33.85546875" bestFit="1" customWidth="1"/>
    <col min="230" max="230" width="32.85546875" bestFit="1" customWidth="1"/>
    <col min="231" max="231" width="36.140625" bestFit="1" customWidth="1"/>
    <col min="232" max="232" width="35.28515625" bestFit="1" customWidth="1"/>
    <col min="233" max="234" width="26.28515625" bestFit="1" customWidth="1"/>
    <col min="235" max="235" width="26.7109375" bestFit="1" customWidth="1"/>
    <col min="236" max="236" width="25.85546875" bestFit="1" customWidth="1"/>
    <col min="237" max="237" width="37" bestFit="1" customWidth="1"/>
    <col min="238" max="238" width="36.140625" bestFit="1" customWidth="1"/>
    <col min="239" max="240" width="26.28515625" bestFit="1" customWidth="1"/>
    <col min="241" max="241" width="26.7109375" bestFit="1" customWidth="1"/>
    <col min="242" max="242" width="25.85546875" bestFit="1" customWidth="1"/>
    <col min="243" max="243" width="37" bestFit="1" customWidth="1"/>
    <col min="244" max="244" width="36.140625" bestFit="1" customWidth="1"/>
    <col min="245" max="245" width="31" bestFit="1" customWidth="1"/>
    <col min="246" max="246" width="30.140625" bestFit="1" customWidth="1"/>
    <col min="247" max="248" width="26.28515625" bestFit="1" customWidth="1"/>
    <col min="249" max="249" width="26.7109375" bestFit="1" customWidth="1"/>
    <col min="250" max="250" width="25.85546875" bestFit="1" customWidth="1"/>
    <col min="251" max="251" width="26.7109375" bestFit="1" customWidth="1"/>
    <col min="252" max="252" width="25.85546875" bestFit="1" customWidth="1"/>
    <col min="253" max="254" width="26.28515625" bestFit="1" customWidth="1"/>
    <col min="255" max="255" width="26.7109375" bestFit="1" customWidth="1"/>
    <col min="256" max="256" width="25.85546875" bestFit="1" customWidth="1"/>
    <col min="257" max="257" width="37" bestFit="1" customWidth="1"/>
    <col min="258" max="258" width="36.140625" bestFit="1" customWidth="1"/>
    <col min="259" max="262" width="26.28515625" bestFit="1" customWidth="1"/>
    <col min="263" max="263" width="26.7109375" bestFit="1" customWidth="1"/>
    <col min="264" max="264" width="25.85546875" bestFit="1" customWidth="1"/>
    <col min="265" max="265" width="33.42578125" bestFit="1" customWidth="1"/>
    <col min="266" max="266" width="32.5703125" bestFit="1" customWidth="1"/>
    <col min="267" max="268" width="26.28515625" bestFit="1" customWidth="1"/>
    <col min="269" max="269" width="33.42578125" bestFit="1" customWidth="1"/>
    <col min="270" max="270" width="32.5703125" bestFit="1" customWidth="1"/>
    <col min="271" max="271" width="36.42578125" bestFit="1" customWidth="1"/>
    <col min="272" max="272" width="35.5703125" bestFit="1" customWidth="1"/>
    <col min="273" max="273" width="37" bestFit="1" customWidth="1"/>
    <col min="274" max="274" width="36.140625" bestFit="1" customWidth="1"/>
    <col min="275" max="276" width="26.28515625" bestFit="1" customWidth="1"/>
    <col min="277" max="277" width="26.7109375" bestFit="1" customWidth="1"/>
    <col min="278" max="278" width="25.85546875" bestFit="1" customWidth="1"/>
    <col min="279" max="279" width="37" bestFit="1" customWidth="1"/>
    <col min="280" max="280" width="36.140625" bestFit="1" customWidth="1"/>
    <col min="281" max="282" width="26.28515625" bestFit="1" customWidth="1"/>
    <col min="283" max="283" width="26.7109375" bestFit="1" customWidth="1"/>
    <col min="284" max="284" width="25.85546875" bestFit="1" customWidth="1"/>
    <col min="285" max="285" width="36.42578125" bestFit="1" customWidth="1"/>
    <col min="286" max="286" width="35.5703125" bestFit="1" customWidth="1"/>
    <col min="287" max="287" width="33.42578125" bestFit="1" customWidth="1"/>
    <col min="288" max="288" width="32.5703125" bestFit="1" customWidth="1"/>
    <col min="289" max="290" width="26.28515625" bestFit="1" customWidth="1"/>
    <col min="291" max="291" width="26.7109375" bestFit="1" customWidth="1"/>
    <col min="292" max="292" width="25.85546875" bestFit="1" customWidth="1"/>
    <col min="293" max="293" width="36.5703125" bestFit="1" customWidth="1"/>
    <col min="294" max="294" width="35.7109375" bestFit="1" customWidth="1"/>
    <col min="295" max="296" width="26.28515625" bestFit="1" customWidth="1"/>
    <col min="297" max="297" width="26.7109375" bestFit="1" customWidth="1"/>
    <col min="298" max="298" width="25.85546875" bestFit="1" customWidth="1"/>
    <col min="299" max="299" width="34.7109375" bestFit="1" customWidth="1"/>
    <col min="300" max="300" width="33.85546875" bestFit="1" customWidth="1"/>
    <col min="301" max="302" width="26.28515625" bestFit="1" customWidth="1"/>
    <col min="303" max="303" width="26.7109375" bestFit="1" customWidth="1"/>
    <col min="304" max="304" width="25.85546875" bestFit="1" customWidth="1"/>
    <col min="305" max="305" width="36.140625" bestFit="1" customWidth="1"/>
    <col min="306" max="306" width="35.28515625" bestFit="1" customWidth="1"/>
    <col min="307" max="307" width="33.85546875" bestFit="1" customWidth="1"/>
    <col min="308" max="308" width="32.85546875" bestFit="1" customWidth="1"/>
    <col min="309" max="310" width="26.28515625" bestFit="1" customWidth="1"/>
    <col min="311" max="311" width="26.7109375" bestFit="1" customWidth="1"/>
    <col min="312" max="312" width="25.85546875" bestFit="1" customWidth="1"/>
    <col min="313" max="313" width="34.7109375" bestFit="1" customWidth="1"/>
    <col min="314" max="314" width="33.85546875" bestFit="1" customWidth="1"/>
    <col min="315" max="316" width="26.28515625" bestFit="1" customWidth="1"/>
    <col min="317" max="317" width="36.140625" bestFit="1" customWidth="1"/>
    <col min="318" max="318" width="35.28515625" bestFit="1" customWidth="1"/>
    <col min="319" max="319" width="32.5703125" bestFit="1" customWidth="1"/>
    <col min="320" max="320" width="31.7109375" bestFit="1" customWidth="1"/>
    <col min="321" max="321" width="35.85546875" bestFit="1" customWidth="1"/>
    <col min="322" max="322" width="35" bestFit="1" customWidth="1"/>
    <col min="323" max="324" width="26.28515625" bestFit="1" customWidth="1"/>
    <col min="325" max="325" width="26.7109375" bestFit="1" customWidth="1"/>
    <col min="326" max="326" width="25.85546875" bestFit="1" customWidth="1"/>
    <col min="327" max="328" width="26.28515625" bestFit="1" customWidth="1"/>
    <col min="329" max="329" width="33.42578125" bestFit="1" customWidth="1"/>
    <col min="330" max="330" width="32.5703125" bestFit="1" customWidth="1"/>
    <col min="331" max="331" width="37" bestFit="1" customWidth="1"/>
    <col min="332" max="332" width="36.140625" bestFit="1" customWidth="1"/>
    <col min="333" max="333" width="36.42578125" bestFit="1" customWidth="1"/>
    <col min="334" max="334" width="35.5703125" bestFit="1" customWidth="1"/>
    <col min="335" max="336" width="26.28515625" bestFit="1" customWidth="1"/>
    <col min="337" max="337" width="26.7109375" bestFit="1" customWidth="1"/>
    <col min="338" max="338" width="25.85546875" bestFit="1" customWidth="1"/>
    <col min="339" max="339" width="36.5703125" bestFit="1" customWidth="1"/>
    <col min="340" max="340" width="35.7109375" bestFit="1" customWidth="1"/>
    <col min="341" max="342" width="26.28515625" bestFit="1" customWidth="1"/>
    <col min="343" max="343" width="35.85546875" bestFit="1" customWidth="1"/>
    <col min="344" max="344" width="35" bestFit="1" customWidth="1"/>
    <col min="345" max="345" width="34.7109375" bestFit="1" customWidth="1"/>
    <col min="346" max="346" width="33.85546875" bestFit="1" customWidth="1"/>
    <col min="347" max="348" width="26.28515625" bestFit="1" customWidth="1"/>
    <col min="349" max="349" width="26.7109375" bestFit="1" customWidth="1"/>
    <col min="350" max="350" width="25.85546875" bestFit="1" customWidth="1"/>
    <col min="351" max="351" width="31.5703125" bestFit="1" customWidth="1"/>
    <col min="352" max="352" width="30.7109375" bestFit="1" customWidth="1"/>
    <col min="353" max="354" width="26.28515625" bestFit="1" customWidth="1"/>
    <col min="355" max="355" width="26.7109375" bestFit="1" customWidth="1"/>
    <col min="356" max="356" width="25.85546875" bestFit="1" customWidth="1"/>
    <col min="357" max="357" width="35.85546875" bestFit="1" customWidth="1"/>
    <col min="358" max="358" width="35" bestFit="1" customWidth="1"/>
    <col min="359" max="359" width="32.5703125" bestFit="1" customWidth="1"/>
    <col min="360" max="360" width="31.7109375" bestFit="1" customWidth="1"/>
    <col min="361" max="362" width="26.28515625" bestFit="1" customWidth="1"/>
    <col min="363" max="363" width="26.7109375" bestFit="1" customWidth="1"/>
    <col min="364" max="364" width="25.85546875" bestFit="1" customWidth="1"/>
    <col min="365" max="365" width="35.85546875" bestFit="1" customWidth="1"/>
    <col min="366" max="366" width="35" bestFit="1" customWidth="1"/>
    <col min="367" max="368" width="26.28515625" bestFit="1" customWidth="1"/>
    <col min="369" max="369" width="26.7109375" bestFit="1" customWidth="1"/>
    <col min="370" max="370" width="25.85546875" bestFit="1" customWidth="1"/>
    <col min="371" max="371" width="31" bestFit="1" customWidth="1"/>
    <col min="372" max="372" width="30.140625" bestFit="1" customWidth="1"/>
    <col min="373" max="373" width="37" bestFit="1" customWidth="1"/>
    <col min="374" max="374" width="36.140625" bestFit="1" customWidth="1"/>
    <col min="375" max="375" width="31.28515625" bestFit="1" customWidth="1"/>
    <col min="376" max="376" width="30.42578125" bestFit="1" customWidth="1"/>
  </cols>
  <sheetData>
    <row r="1" spans="2:24" x14ac:dyDescent="0.25">
      <c r="H1" s="35" t="s">
        <v>530</v>
      </c>
      <c r="I1" t="s">
        <v>533</v>
      </c>
      <c r="K1" s="35" t="s">
        <v>530</v>
      </c>
      <c r="L1" t="s">
        <v>533</v>
      </c>
      <c r="S1" s="35" t="s">
        <v>236</v>
      </c>
      <c r="T1" t="s">
        <v>533</v>
      </c>
      <c r="V1" s="63"/>
      <c r="W1" s="47" t="s">
        <v>544</v>
      </c>
      <c r="X1" s="47" t="s">
        <v>547</v>
      </c>
    </row>
    <row r="2" spans="2:24" x14ac:dyDescent="0.25">
      <c r="H2" s="35" t="s">
        <v>531</v>
      </c>
      <c r="I2" s="36">
        <v>11</v>
      </c>
      <c r="K2" s="35" t="s">
        <v>531</v>
      </c>
      <c r="L2" s="36">
        <v>11</v>
      </c>
      <c r="Q2" t="s">
        <v>548</v>
      </c>
      <c r="S2" s="35" t="s">
        <v>237</v>
      </c>
      <c r="T2" t="s">
        <v>533</v>
      </c>
      <c r="V2" s="42">
        <v>721</v>
      </c>
      <c r="W2" s="42" t="str">
        <f>VLOOKUP(V2,'Base de Dados'!I15:J34,2,0)</f>
        <v>GENILSON</v>
      </c>
      <c r="X2" s="42">
        <v>141</v>
      </c>
    </row>
    <row r="3" spans="2:24" x14ac:dyDescent="0.25">
      <c r="B3" s="32" t="s">
        <v>269</v>
      </c>
      <c r="C3" s="52">
        <f>SUM(C17:C116) / COUNTIF(C17:C116,"&gt;0")</f>
        <v>0.62246419249665741</v>
      </c>
      <c r="D3" s="32" t="s">
        <v>568</v>
      </c>
      <c r="H3" s="35" t="s">
        <v>532</v>
      </c>
      <c r="I3" s="36">
        <v>2022</v>
      </c>
      <c r="K3" s="35" t="s">
        <v>532</v>
      </c>
      <c r="L3" s="36">
        <v>2022</v>
      </c>
      <c r="Q3" t="s">
        <v>549</v>
      </c>
      <c r="S3" s="35" t="s">
        <v>238</v>
      </c>
      <c r="T3" t="s">
        <v>533</v>
      </c>
      <c r="V3" s="42">
        <v>73</v>
      </c>
      <c r="W3" s="42" t="str">
        <f>VLOOKUP(V3,'Base de Dados'!I2:J21,2,0)</f>
        <v>VALDEMAR</v>
      </c>
      <c r="X3" s="42">
        <v>112</v>
      </c>
    </row>
    <row r="4" spans="2:24" x14ac:dyDescent="0.25">
      <c r="B4" s="32" t="s">
        <v>270</v>
      </c>
      <c r="C4" s="52">
        <f>SUM(D17:D116) / COUNTIF(D17:D116,"&gt;0")</f>
        <v>339.91988097523557</v>
      </c>
      <c r="D4" s="32" t="s">
        <v>568</v>
      </c>
      <c r="H4" s="35" t="s">
        <v>226</v>
      </c>
      <c r="I4" t="s">
        <v>533</v>
      </c>
      <c r="K4" s="35" t="s">
        <v>226</v>
      </c>
      <c r="L4" t="s">
        <v>533</v>
      </c>
      <c r="Q4" t="s">
        <v>550</v>
      </c>
      <c r="S4" s="35" t="s">
        <v>239</v>
      </c>
      <c r="T4" t="s">
        <v>533</v>
      </c>
      <c r="V4" s="42">
        <v>739</v>
      </c>
      <c r="W4" s="42" t="str">
        <f>VLOOKUP(V4,'Base de Dados'!I18:J36,2,0)</f>
        <v>DANILLO</v>
      </c>
      <c r="X4" s="42">
        <v>95</v>
      </c>
    </row>
    <row r="5" spans="2:24" x14ac:dyDescent="0.25">
      <c r="B5" s="32" t="s">
        <v>596</v>
      </c>
      <c r="C5" s="32">
        <v>250</v>
      </c>
      <c r="D5" s="32" t="s">
        <v>272</v>
      </c>
      <c r="K5" s="35" t="s">
        <v>552</v>
      </c>
      <c r="L5" t="s">
        <v>553</v>
      </c>
      <c r="Q5" t="s">
        <v>567</v>
      </c>
      <c r="S5" s="35" t="s">
        <v>226</v>
      </c>
      <c r="T5" t="s">
        <v>533</v>
      </c>
      <c r="V5" s="42">
        <v>15</v>
      </c>
      <c r="W5" s="42" t="str">
        <f>VLOOKUP(V5,'Base de Dados'!I11:J30,2,0)</f>
        <v>ROBERT</v>
      </c>
      <c r="X5" s="42">
        <v>70</v>
      </c>
    </row>
    <row r="6" spans="2:24" x14ac:dyDescent="0.25">
      <c r="B6" s="32" t="s">
        <v>271</v>
      </c>
      <c r="C6" s="53">
        <f xml:space="preserve"> SUM(E17:E116) / COUNTIF(E17:E116,"&gt;0") / 100</f>
        <v>0.99722222222222223</v>
      </c>
      <c r="D6" s="32"/>
      <c r="H6" s="35" t="s">
        <v>308</v>
      </c>
      <c r="I6" t="s">
        <v>309</v>
      </c>
      <c r="Q6" t="s">
        <v>565</v>
      </c>
      <c r="S6" s="35" t="s">
        <v>530</v>
      </c>
      <c r="T6" s="36">
        <v>17</v>
      </c>
      <c r="V6" s="42">
        <v>782</v>
      </c>
      <c r="W6" s="42" t="str">
        <f>VLOOKUP(V6,'Base de Dados'!I20:J39,2,0)</f>
        <v>JOSÉ</v>
      </c>
      <c r="X6" s="42">
        <v>67</v>
      </c>
    </row>
    <row r="7" spans="2:24" x14ac:dyDescent="0.25">
      <c r="H7" s="36" t="s">
        <v>112</v>
      </c>
      <c r="I7" s="51">
        <v>1116</v>
      </c>
      <c r="K7" s="35" t="s">
        <v>308</v>
      </c>
      <c r="L7" t="s">
        <v>309</v>
      </c>
      <c r="M7" t="s">
        <v>569</v>
      </c>
      <c r="Q7" t="s">
        <v>566</v>
      </c>
      <c r="S7" s="35" t="s">
        <v>531</v>
      </c>
      <c r="T7" s="36">
        <v>1</v>
      </c>
      <c r="V7" s="42">
        <v>540</v>
      </c>
      <c r="W7" s="42" t="str">
        <f>VLOOKUP(V7,'Base de Dados'!I19:J37,2,0)</f>
        <v>ANDERSON</v>
      </c>
      <c r="X7" s="42">
        <v>65</v>
      </c>
    </row>
    <row r="8" spans="2:24" x14ac:dyDescent="0.25">
      <c r="B8" s="33" t="s">
        <v>281</v>
      </c>
      <c r="C8" s="33" t="s">
        <v>263</v>
      </c>
      <c r="D8" s="33" t="s">
        <v>262</v>
      </c>
      <c r="H8" s="36" t="s">
        <v>141</v>
      </c>
      <c r="I8" s="51">
        <v>521</v>
      </c>
      <c r="K8" s="36" t="s">
        <v>325</v>
      </c>
      <c r="L8" s="51">
        <v>93</v>
      </c>
      <c r="M8" s="51">
        <v>3</v>
      </c>
      <c r="S8" s="35" t="s">
        <v>532</v>
      </c>
      <c r="T8" s="36">
        <v>2023</v>
      </c>
      <c r="V8" s="42">
        <v>877</v>
      </c>
      <c r="W8" s="42" t="str">
        <f>VLOOKUP(V8,'Base de Dados'!I21:J40,2,0)</f>
        <v>RONALDO</v>
      </c>
      <c r="X8" s="42">
        <v>60</v>
      </c>
    </row>
    <row r="9" spans="2:24" x14ac:dyDescent="0.25">
      <c r="B9" s="33" t="s">
        <v>275</v>
      </c>
      <c r="C9" s="54">
        <f>IFERROR(SUMIF($F$17:$F$116,B9,$D$17:$D$116) / COUNTIFS($F$17:$F$116,B9,$D$17:$D$116,"&gt;0"),0)</f>
        <v>215.82005787037036</v>
      </c>
      <c r="D9" s="54">
        <f>IFERROR(SUMIF($F$17:$F$116,B9,$C$17:$C$116) / COUNTIFS($F$17:$F$116,B9,$C$17:$C$116,"&gt;0"),0)</f>
        <v>0.67994212962962963</v>
      </c>
      <c r="H9" s="36" t="s">
        <v>104</v>
      </c>
      <c r="I9" s="51">
        <v>516</v>
      </c>
      <c r="K9" s="36" t="s">
        <v>492</v>
      </c>
      <c r="L9" s="51">
        <v>105</v>
      </c>
      <c r="M9" s="51">
        <v>2</v>
      </c>
      <c r="V9" s="42">
        <v>267</v>
      </c>
      <c r="W9" s="42" t="str">
        <f>VLOOKUP(V9,'Base de Dados'!I3:J22,2,0)</f>
        <v>A. FERNANDO</v>
      </c>
      <c r="X9" s="42">
        <v>60</v>
      </c>
    </row>
    <row r="10" spans="2:24" x14ac:dyDescent="0.25">
      <c r="B10" s="33" t="s">
        <v>276</v>
      </c>
      <c r="C10" s="54">
        <f t="shared" ref="C10:C14" si="0">IFERROR(SUMIF($F$17:$F$116,B10,$D$17:$D$116) / COUNTIFS($F$17:$F$116,B10,$D$17:$D$116,"&gt;0"),0)</f>
        <v>298.81388888888887</v>
      </c>
      <c r="D10" s="54">
        <f t="shared" ref="D10:D14" si="1">IFERROR(SUMIF($F$17:$F$116,B10,$C$17:$C$116) / COUNTIFS($F$17:$F$116,B10,$C$17:$C$116,"&gt;0"),0)</f>
        <v>1.1861111111111111</v>
      </c>
      <c r="H10" s="36" t="s">
        <v>79</v>
      </c>
      <c r="I10" s="51">
        <v>491</v>
      </c>
      <c r="K10" s="36" t="s">
        <v>494</v>
      </c>
      <c r="L10" s="51">
        <v>13</v>
      </c>
      <c r="M10" s="51">
        <v>1</v>
      </c>
      <c r="S10" t="s">
        <v>309</v>
      </c>
      <c r="T10" t="s">
        <v>546</v>
      </c>
      <c r="V10" s="42">
        <v>248</v>
      </c>
      <c r="W10" s="42" t="str">
        <f>VLOOKUP(V10,'Base de Dados'!I12:J31,2,0)</f>
        <v>RUIGUENS</v>
      </c>
      <c r="X10" s="42">
        <v>50</v>
      </c>
    </row>
    <row r="11" spans="2:24" x14ac:dyDescent="0.25">
      <c r="B11" s="33" t="s">
        <v>277</v>
      </c>
      <c r="C11" s="54">
        <f t="shared" si="0"/>
        <v>149.02569444444444</v>
      </c>
      <c r="D11" s="54">
        <f t="shared" si="1"/>
        <v>0.97430555555555554</v>
      </c>
      <c r="H11" s="36" t="s">
        <v>185</v>
      </c>
      <c r="I11" s="51">
        <v>445</v>
      </c>
      <c r="K11" s="36" t="s">
        <v>419</v>
      </c>
      <c r="L11" s="51">
        <v>135</v>
      </c>
      <c r="M11" s="51">
        <v>2</v>
      </c>
      <c r="S11" s="51">
        <v>389</v>
      </c>
      <c r="T11" s="51">
        <v>50</v>
      </c>
      <c r="V11" s="42">
        <v>631</v>
      </c>
      <c r="W11" s="42" t="str">
        <f>VLOOKUP(V11,'Base de Dados'!I8:J27,2,0)</f>
        <v>JOSINALDO</v>
      </c>
      <c r="X11" s="42">
        <v>50</v>
      </c>
    </row>
    <row r="12" spans="2:24" x14ac:dyDescent="0.25">
      <c r="B12" s="33" t="s">
        <v>278</v>
      </c>
      <c r="C12" s="54">
        <f t="shared" si="0"/>
        <v>345.21673250360749</v>
      </c>
      <c r="D12" s="54">
        <f t="shared" si="1"/>
        <v>0.60144931457431461</v>
      </c>
      <c r="H12" s="36" t="s">
        <v>47</v>
      </c>
      <c r="I12" s="51">
        <v>352</v>
      </c>
      <c r="K12" s="36" t="s">
        <v>402</v>
      </c>
      <c r="L12" s="51">
        <v>108</v>
      </c>
      <c r="M12" s="51">
        <v>4</v>
      </c>
      <c r="V12" s="42">
        <v>282</v>
      </c>
      <c r="W12" s="42" t="str">
        <f>VLOOKUP(V12,'Base de Dados'!I2:J21,2,0)</f>
        <v>ALBERTO</v>
      </c>
      <c r="X12" s="42">
        <v>50</v>
      </c>
    </row>
    <row r="13" spans="2:24" x14ac:dyDescent="0.25">
      <c r="B13" s="33" t="s">
        <v>280</v>
      </c>
      <c r="C13" s="54">
        <f t="shared" si="0"/>
        <v>51.267648709315381</v>
      </c>
      <c r="D13" s="54">
        <f t="shared" si="1"/>
        <v>0.4257559252657292</v>
      </c>
      <c r="H13" s="36" t="s">
        <v>177</v>
      </c>
      <c r="I13" s="51">
        <v>327</v>
      </c>
      <c r="K13" s="36" t="s">
        <v>365</v>
      </c>
      <c r="L13" s="51">
        <v>195</v>
      </c>
      <c r="M13" s="51">
        <v>6</v>
      </c>
      <c r="V13" s="42">
        <v>677</v>
      </c>
      <c r="W13" s="42" t="str">
        <f>VLOOKUP(V13,'Base de Dados'!I10:J29,2,0)</f>
        <v>RAFAEL</v>
      </c>
      <c r="X13" s="42">
        <v>26</v>
      </c>
    </row>
    <row r="14" spans="2:24" x14ac:dyDescent="0.25">
      <c r="B14" s="33" t="s">
        <v>561</v>
      </c>
      <c r="C14" s="54">
        <f t="shared" si="0"/>
        <v>429.86386967418548</v>
      </c>
      <c r="D14" s="54">
        <f t="shared" si="1"/>
        <v>0.56620551378446116</v>
      </c>
      <c r="H14" s="36" t="s">
        <v>73</v>
      </c>
      <c r="I14" s="51">
        <v>303</v>
      </c>
      <c r="K14" s="36" t="s">
        <v>478</v>
      </c>
      <c r="L14" s="51">
        <v>25</v>
      </c>
      <c r="M14" s="51">
        <v>1</v>
      </c>
      <c r="V14" s="42">
        <v>444</v>
      </c>
      <c r="W14" s="42" t="str">
        <f>VLOOKUP(V14,'Base de Dados'!I5:J23,2,0)</f>
        <v>EDUARDO</v>
      </c>
      <c r="X14" s="42">
        <v>0</v>
      </c>
    </row>
    <row r="15" spans="2:24" x14ac:dyDescent="0.25">
      <c r="H15" s="36" t="s">
        <v>11</v>
      </c>
      <c r="I15" s="51">
        <v>292</v>
      </c>
      <c r="K15" s="36" t="s">
        <v>446</v>
      </c>
      <c r="L15" s="51">
        <v>152</v>
      </c>
      <c r="M15" s="51">
        <v>4</v>
      </c>
      <c r="V15" s="42">
        <v>592</v>
      </c>
      <c r="W15" s="42" t="str">
        <f>VLOOKUP(V15,'Base de Dados'!I17:J35,2,0)</f>
        <v>CRISTIANO</v>
      </c>
      <c r="X15" s="42">
        <v>0</v>
      </c>
    </row>
    <row r="16" spans="2:24" x14ac:dyDescent="0.25">
      <c r="B16" s="55" t="s">
        <v>562</v>
      </c>
      <c r="C16" s="55" t="s">
        <v>262</v>
      </c>
      <c r="D16" s="55" t="s">
        <v>263</v>
      </c>
      <c r="E16" s="55" t="s">
        <v>563</v>
      </c>
      <c r="F16" s="56" t="s">
        <v>564</v>
      </c>
      <c r="G16" s="48"/>
      <c r="H16" s="36" t="s">
        <v>98</v>
      </c>
      <c r="I16" s="51">
        <v>273</v>
      </c>
      <c r="K16" s="36" t="s">
        <v>511</v>
      </c>
      <c r="L16" s="51">
        <v>40</v>
      </c>
      <c r="M16" s="51">
        <v>1</v>
      </c>
      <c r="V16" s="42">
        <v>435</v>
      </c>
      <c r="W16" s="42" t="str">
        <f>VLOOKUP(V16,'Base de Dados'!I13:J32,2,0)</f>
        <v>SILVIO</v>
      </c>
      <c r="X16" s="42">
        <v>0</v>
      </c>
    </row>
    <row r="17" spans="2:24" x14ac:dyDescent="0.25">
      <c r="B17" s="57" t="s">
        <v>325</v>
      </c>
      <c r="C17" s="58">
        <v>0.51666666666666672</v>
      </c>
      <c r="D17" s="58">
        <v>239.48333333333335</v>
      </c>
      <c r="E17" s="59">
        <v>100</v>
      </c>
      <c r="F17" s="60" t="str">
        <f>IF(B17="","",IFERROR(VLOOKUP(B17,'Base de Dados'!$Y$2:$Z$38,2,0),"Outros"))</f>
        <v>Outros</v>
      </c>
      <c r="G17" s="49"/>
      <c r="H17" s="36" t="s">
        <v>307</v>
      </c>
      <c r="I17" s="51">
        <v>4636</v>
      </c>
      <c r="K17" s="36" t="s">
        <v>11</v>
      </c>
      <c r="L17" s="51">
        <v>292</v>
      </c>
      <c r="M17" s="51">
        <v>3</v>
      </c>
      <c r="V17" s="42">
        <v>493</v>
      </c>
      <c r="W17" s="42" t="str">
        <f>VLOOKUP(V17,'Base de Dados'!I16:J35,2,0)</f>
        <v>ELIAS</v>
      </c>
      <c r="X17" s="42">
        <v>0</v>
      </c>
    </row>
    <row r="18" spans="2:24" x14ac:dyDescent="0.25">
      <c r="B18" s="57" t="s">
        <v>492</v>
      </c>
      <c r="C18" s="58">
        <v>0.875</v>
      </c>
      <c r="D18" s="58">
        <v>359.125</v>
      </c>
      <c r="E18" s="59">
        <v>100</v>
      </c>
      <c r="F18" s="60" t="str">
        <f>IF(B18="","",IFERROR(VLOOKUP(B18,'Base de Dados'!$Y$2:$Z$38,2,0),"Outros"))</f>
        <v>Outros</v>
      </c>
      <c r="K18" s="36" t="s">
        <v>21</v>
      </c>
      <c r="L18" s="51">
        <v>90</v>
      </c>
      <c r="M18" s="51">
        <v>2</v>
      </c>
      <c r="V18" s="42">
        <v>185</v>
      </c>
      <c r="W18" s="42" t="str">
        <f>VLOOKUP(V18,'Base de Dados'!I6:J24,2,0)</f>
        <v>FELIPE</v>
      </c>
      <c r="X18" s="42">
        <v>0</v>
      </c>
    </row>
    <row r="19" spans="2:24" x14ac:dyDescent="0.25">
      <c r="B19" s="57" t="s">
        <v>494</v>
      </c>
      <c r="C19" s="58">
        <v>0.21666666666666667</v>
      </c>
      <c r="D19" s="58">
        <v>719.7833333333333</v>
      </c>
      <c r="E19" s="59">
        <v>100</v>
      </c>
      <c r="F19" s="60" t="str">
        <f>IF(B19="","",IFERROR(VLOOKUP(B19,'Base de Dados'!$Y$2:$Z$38,2,0),"Outros"))</f>
        <v>Outros</v>
      </c>
      <c r="K19" s="36" t="s">
        <v>36</v>
      </c>
      <c r="L19" s="51">
        <v>119</v>
      </c>
      <c r="M19" s="51">
        <v>2</v>
      </c>
      <c r="V19" s="42">
        <v>680</v>
      </c>
      <c r="W19" s="42" t="str">
        <f>VLOOKUP(V19,'Base de Dados'!I9:J28,2,0)</f>
        <v>PERCIVAL</v>
      </c>
      <c r="X19" s="42">
        <v>0</v>
      </c>
    </row>
    <row r="20" spans="2:24" x14ac:dyDescent="0.25">
      <c r="B20" s="57" t="s">
        <v>419</v>
      </c>
      <c r="C20" s="58">
        <v>1.125</v>
      </c>
      <c r="D20" s="58">
        <v>358.875</v>
      </c>
      <c r="E20" s="59">
        <v>100</v>
      </c>
      <c r="F20" s="60" t="str">
        <f>IF(B20="","",IFERROR(VLOOKUP(B20,'Base de Dados'!$Y$2:$Z$38,2,0),"Outros"))</f>
        <v>Outros</v>
      </c>
      <c r="K20" s="36" t="s">
        <v>42</v>
      </c>
      <c r="L20" s="51">
        <v>238</v>
      </c>
      <c r="M20" s="51">
        <v>6</v>
      </c>
      <c r="V20" s="42">
        <v>299</v>
      </c>
      <c r="W20" s="42" t="str">
        <f>VLOOKUP(V20,'Base de Dados'!I7:J26,2,0)</f>
        <v>JEAZI</v>
      </c>
      <c r="X20" s="42">
        <v>0</v>
      </c>
    </row>
    <row r="21" spans="2:24" x14ac:dyDescent="0.25">
      <c r="B21" s="57" t="s">
        <v>402</v>
      </c>
      <c r="C21" s="58">
        <v>0.45</v>
      </c>
      <c r="D21" s="58">
        <v>179.55</v>
      </c>
      <c r="E21" s="59">
        <v>100</v>
      </c>
      <c r="F21" s="60" t="str">
        <f>IF(B21="","",IFERROR(VLOOKUP(B21,'Base de Dados'!$Y$2:$Z$38,2,0),"Outros"))</f>
        <v>Outros</v>
      </c>
      <c r="K21" s="36" t="s">
        <v>47</v>
      </c>
      <c r="L21" s="51">
        <v>352</v>
      </c>
      <c r="M21" s="51">
        <v>6</v>
      </c>
      <c r="V21" s="42">
        <v>188</v>
      </c>
      <c r="W21" s="42" t="str">
        <f>VLOOKUP(V21,'Base de Dados'!I4:J23,2,0)</f>
        <v>DAVID</v>
      </c>
      <c r="X21" s="42">
        <v>0</v>
      </c>
    </row>
    <row r="22" spans="2:24" x14ac:dyDescent="0.25">
      <c r="B22" s="57" t="s">
        <v>365</v>
      </c>
      <c r="C22" s="58">
        <v>0.54166666666666663</v>
      </c>
      <c r="D22" s="58">
        <v>119.45833333333333</v>
      </c>
      <c r="E22" s="59">
        <v>100</v>
      </c>
      <c r="F22" s="60" t="str">
        <f>IF(B22="","",IFERROR(VLOOKUP(B22,'Base de Dados'!$Y$2:$Z$38,2,0),"Outros"))</f>
        <v>Outros</v>
      </c>
      <c r="K22" s="36" t="s">
        <v>53</v>
      </c>
      <c r="L22" s="51">
        <v>75</v>
      </c>
      <c r="M22" s="51">
        <v>4</v>
      </c>
    </row>
    <row r="23" spans="2:24" x14ac:dyDescent="0.25">
      <c r="B23" s="57" t="s">
        <v>478</v>
      </c>
      <c r="C23" s="58">
        <v>0.41666666666666669</v>
      </c>
      <c r="D23" s="58">
        <v>719.58333333333337</v>
      </c>
      <c r="E23" s="59">
        <v>100</v>
      </c>
      <c r="F23" s="60" t="str">
        <f>IF(B23="","",IFERROR(VLOOKUP(B23,'Base de Dados'!$Y$2:$Z$38,2,0),"Outros"))</f>
        <v>Outros</v>
      </c>
      <c r="K23" s="36" t="s">
        <v>66</v>
      </c>
      <c r="L23" s="51">
        <v>60</v>
      </c>
      <c r="M23" s="51">
        <v>1</v>
      </c>
    </row>
    <row r="24" spans="2:24" x14ac:dyDescent="0.25">
      <c r="B24" s="57" t="s">
        <v>446</v>
      </c>
      <c r="C24" s="58">
        <v>0.6333333333333333</v>
      </c>
      <c r="D24" s="58">
        <v>179.36666666666667</v>
      </c>
      <c r="E24" s="59">
        <v>100</v>
      </c>
      <c r="F24" s="60" t="str">
        <f>IF(B24="","",IFERROR(VLOOKUP(B24,'Base de Dados'!$Y$2:$Z$38,2,0),"Outros"))</f>
        <v>Outros</v>
      </c>
      <c r="K24" s="36" t="s">
        <v>73</v>
      </c>
      <c r="L24" s="51">
        <v>303</v>
      </c>
      <c r="M24" s="51">
        <v>9</v>
      </c>
    </row>
    <row r="25" spans="2:24" x14ac:dyDescent="0.25">
      <c r="B25" s="57" t="s">
        <v>511</v>
      </c>
      <c r="C25" s="58">
        <v>0.66666666666666663</v>
      </c>
      <c r="D25" s="58">
        <v>719.33333333333337</v>
      </c>
      <c r="E25" s="59">
        <v>100</v>
      </c>
      <c r="F25" s="60" t="str">
        <f>IF(B25="","",IFERROR(VLOOKUP(B25,'Base de Dados'!$Y$2:$Z$38,2,0),"Outros"))</f>
        <v>Outros</v>
      </c>
      <c r="K25" s="36" t="s">
        <v>456</v>
      </c>
      <c r="L25" s="51">
        <v>46</v>
      </c>
      <c r="M25" s="51">
        <v>2</v>
      </c>
    </row>
    <row r="26" spans="2:24" x14ac:dyDescent="0.25">
      <c r="B26" s="57" t="s">
        <v>11</v>
      </c>
      <c r="C26" s="58">
        <v>1.6222222222222222</v>
      </c>
      <c r="D26" s="58">
        <v>238.37777777777777</v>
      </c>
      <c r="E26" s="59">
        <v>99</v>
      </c>
      <c r="F26" s="60" t="str">
        <f>IF(B26="","",IFERROR(VLOOKUP(B26,'Base de Dados'!$Y$2:$Z$38,2,0),"Outros"))</f>
        <v>LWF Block foaming</v>
      </c>
      <c r="K26" s="36" t="s">
        <v>79</v>
      </c>
      <c r="L26" s="51">
        <v>491</v>
      </c>
      <c r="M26" s="51">
        <v>15</v>
      </c>
    </row>
    <row r="27" spans="2:24" x14ac:dyDescent="0.25">
      <c r="B27" s="57" t="s">
        <v>21</v>
      </c>
      <c r="C27" s="58">
        <v>0.75</v>
      </c>
      <c r="D27" s="58">
        <v>359.25</v>
      </c>
      <c r="E27" s="59">
        <v>100</v>
      </c>
      <c r="F27" s="60" t="str">
        <f>IF(B27="","",IFERROR(VLOOKUP(B27,'Base de Dados'!$Y$2:$Z$38,2,0),"Outros"))</f>
        <v>LWF Block foaming</v>
      </c>
      <c r="K27" s="36" t="s">
        <v>85</v>
      </c>
      <c r="L27" s="51">
        <v>50</v>
      </c>
      <c r="M27" s="51">
        <v>2</v>
      </c>
    </row>
    <row r="28" spans="2:24" x14ac:dyDescent="0.25">
      <c r="B28" s="57" t="s">
        <v>36</v>
      </c>
      <c r="C28" s="58">
        <v>0.9916666666666667</v>
      </c>
      <c r="D28" s="58">
        <v>359.00833333333333</v>
      </c>
      <c r="E28" s="59">
        <v>100</v>
      </c>
      <c r="F28" s="60" t="str">
        <f>IF(B28="","",IFERROR(VLOOKUP(B28,'Base de Dados'!$Y$2:$Z$38,2,0),"Outros"))</f>
        <v>Outros</v>
      </c>
      <c r="K28" s="36" t="s">
        <v>91</v>
      </c>
      <c r="L28" s="51">
        <v>204</v>
      </c>
      <c r="M28" s="51">
        <v>8</v>
      </c>
    </row>
    <row r="29" spans="2:24" x14ac:dyDescent="0.25">
      <c r="B29" s="57" t="s">
        <v>42</v>
      </c>
      <c r="C29" s="58">
        <v>0.66111111111111109</v>
      </c>
      <c r="D29" s="58">
        <v>119.33888888888889</v>
      </c>
      <c r="E29" s="59">
        <v>99</v>
      </c>
      <c r="F29" s="60" t="str">
        <f>IF(B29="","",IFERROR(VLOOKUP(B29,'Base de Dados'!$Y$2:$Z$38,2,0),"Outros"))</f>
        <v>PUR Foaming molding</v>
      </c>
      <c r="K29" s="36" t="s">
        <v>98</v>
      </c>
      <c r="L29" s="51">
        <v>273</v>
      </c>
      <c r="M29" s="51">
        <v>8</v>
      </c>
    </row>
    <row r="30" spans="2:24" x14ac:dyDescent="0.25">
      <c r="B30" s="57" t="s">
        <v>47</v>
      </c>
      <c r="C30" s="58">
        <v>0.97777777777777775</v>
      </c>
      <c r="D30" s="58">
        <v>119.02222222222223</v>
      </c>
      <c r="E30" s="59">
        <v>99</v>
      </c>
      <c r="F30" s="60" t="str">
        <f>IF(B30="","",IFERROR(VLOOKUP(B30,'Base de Dados'!$Y$2:$Z$38,2,0),"Outros"))</f>
        <v>Carpet molding</v>
      </c>
      <c r="K30" s="36" t="s">
        <v>104</v>
      </c>
      <c r="L30" s="51">
        <v>516</v>
      </c>
      <c r="M30" s="51">
        <v>11</v>
      </c>
    </row>
    <row r="31" spans="2:24" x14ac:dyDescent="0.25">
      <c r="B31" s="57" t="s">
        <v>53</v>
      </c>
      <c r="C31" s="58">
        <v>0.3125</v>
      </c>
      <c r="D31" s="58">
        <v>179.6875</v>
      </c>
      <c r="E31" s="59">
        <v>100</v>
      </c>
      <c r="F31" s="60" t="str">
        <f>IF(B31="","",IFERROR(VLOOKUP(B31,'Base de Dados'!$Y$2:$Z$38,2,0),"Outros"))</f>
        <v>Hot pressing</v>
      </c>
      <c r="K31" s="36" t="s">
        <v>112</v>
      </c>
      <c r="L31" s="51">
        <v>1116</v>
      </c>
      <c r="M31" s="51">
        <v>19</v>
      </c>
    </row>
    <row r="32" spans="2:24" x14ac:dyDescent="0.25">
      <c r="B32" s="57" t="s">
        <v>66</v>
      </c>
      <c r="C32" s="58">
        <v>1</v>
      </c>
      <c r="D32" s="58">
        <v>719</v>
      </c>
      <c r="E32" s="59">
        <v>100</v>
      </c>
      <c r="F32" s="60" t="str">
        <f>IF(B32="","",IFERROR(VLOOKUP(B32,'Base de Dados'!$Y$2:$Z$38,2,0),"Outros"))</f>
        <v>PUR Foaming molding</v>
      </c>
      <c r="K32" s="36" t="s">
        <v>118</v>
      </c>
      <c r="L32" s="51">
        <v>139</v>
      </c>
      <c r="M32" s="51">
        <v>4</v>
      </c>
    </row>
    <row r="33" spans="2:13" x14ac:dyDescent="0.25">
      <c r="B33" s="57" t="s">
        <v>73</v>
      </c>
      <c r="C33" s="58">
        <v>0.56111111111111112</v>
      </c>
      <c r="D33" s="58">
        <v>79.438888888888897</v>
      </c>
      <c r="E33" s="59">
        <v>99</v>
      </c>
      <c r="F33" s="60" t="str">
        <f>IF(B33="","",IFERROR(VLOOKUP(B33,'Base de Dados'!$Y$2:$Z$38,2,0),"Outros"))</f>
        <v>PUR Foaming molding</v>
      </c>
      <c r="K33" s="36" t="s">
        <v>124</v>
      </c>
      <c r="L33" s="51">
        <v>142</v>
      </c>
      <c r="M33" s="51">
        <v>5</v>
      </c>
    </row>
    <row r="34" spans="2:13" x14ac:dyDescent="0.25">
      <c r="B34" s="57" t="s">
        <v>456</v>
      </c>
      <c r="C34" s="58">
        <v>0.38333333333333336</v>
      </c>
      <c r="D34" s="58">
        <v>359.61666666666667</v>
      </c>
      <c r="E34" s="59">
        <v>100</v>
      </c>
      <c r="F34" s="60" t="str">
        <f>IF(B34="","",IFERROR(VLOOKUP(B34,'Base de Dados'!$Y$2:$Z$38,2,0),"Outros"))</f>
        <v>Outros</v>
      </c>
      <c r="K34" s="36" t="s">
        <v>130</v>
      </c>
      <c r="L34" s="51">
        <v>88</v>
      </c>
      <c r="M34" s="51">
        <v>3</v>
      </c>
    </row>
    <row r="35" spans="2:13" x14ac:dyDescent="0.25">
      <c r="B35" s="57" t="s">
        <v>79</v>
      </c>
      <c r="C35" s="58">
        <v>0.54555555555555557</v>
      </c>
      <c r="D35" s="58">
        <v>47.454444444444448</v>
      </c>
      <c r="E35" s="59">
        <v>99</v>
      </c>
      <c r="F35" s="60" t="str">
        <f>IF(B35="","",IFERROR(VLOOKUP(B35,'Base de Dados'!$Y$2:$Z$38,2,0),"Outros"))</f>
        <v>PUR Foaming molding</v>
      </c>
      <c r="K35" s="36" t="s">
        <v>136</v>
      </c>
      <c r="L35" s="51">
        <v>18</v>
      </c>
      <c r="M35" s="51">
        <v>1</v>
      </c>
    </row>
    <row r="36" spans="2:13" x14ac:dyDescent="0.25">
      <c r="B36" s="57" t="s">
        <v>85</v>
      </c>
      <c r="C36" s="58">
        <v>0.41666666666666669</v>
      </c>
      <c r="D36" s="58">
        <v>359.58333333333331</v>
      </c>
      <c r="E36" s="59">
        <v>100</v>
      </c>
      <c r="F36" s="60" t="str">
        <f>IF(B36="","",IFERROR(VLOOKUP(B36,'Base de Dados'!$Y$2:$Z$38,2,0),"Outros"))</f>
        <v>PUR Foaming molding</v>
      </c>
      <c r="K36" s="36" t="s">
        <v>141</v>
      </c>
      <c r="L36" s="51">
        <v>521</v>
      </c>
      <c r="M36" s="51">
        <v>22</v>
      </c>
    </row>
    <row r="37" spans="2:13" x14ac:dyDescent="0.25">
      <c r="B37" s="57" t="s">
        <v>91</v>
      </c>
      <c r="C37" s="58">
        <v>0.42499999999999999</v>
      </c>
      <c r="D37" s="58">
        <v>89.575000000000003</v>
      </c>
      <c r="E37" s="59">
        <v>100</v>
      </c>
      <c r="F37" s="60" t="str">
        <f>IF(B37="","",IFERROR(VLOOKUP(B37,'Base de Dados'!$Y$2:$Z$38,2,0),"Outros"))</f>
        <v>Hot pressing</v>
      </c>
      <c r="K37" s="36" t="s">
        <v>145</v>
      </c>
      <c r="L37" s="51">
        <v>172</v>
      </c>
      <c r="M37" s="51">
        <v>10</v>
      </c>
    </row>
    <row r="38" spans="2:13" x14ac:dyDescent="0.25">
      <c r="B38" s="57" t="s">
        <v>98</v>
      </c>
      <c r="C38" s="58">
        <v>0.56874999999999998</v>
      </c>
      <c r="D38" s="58">
        <v>89.431250000000006</v>
      </c>
      <c r="E38" s="59">
        <v>99</v>
      </c>
      <c r="F38" s="60" t="str">
        <f>IF(B38="","",IFERROR(VLOOKUP(B38,'Base de Dados'!$Y$2:$Z$38,2,0),"Outros"))</f>
        <v>Hot pressing</v>
      </c>
      <c r="K38" s="36" t="s">
        <v>149</v>
      </c>
      <c r="L38" s="51">
        <v>20</v>
      </c>
      <c r="M38" s="51">
        <v>1</v>
      </c>
    </row>
    <row r="39" spans="2:13" x14ac:dyDescent="0.25">
      <c r="B39" s="57" t="s">
        <v>104</v>
      </c>
      <c r="C39" s="58">
        <v>0.78181818181818175</v>
      </c>
      <c r="D39" s="58">
        <v>64.672727272727272</v>
      </c>
      <c r="E39" s="59">
        <v>99</v>
      </c>
      <c r="F39" s="60" t="str">
        <f>IF(B39="","",IFERROR(VLOOKUP(B39,'Base de Dados'!$Y$2:$Z$38,2,0),"Outros"))</f>
        <v>Hot pressing</v>
      </c>
      <c r="K39" s="36" t="s">
        <v>154</v>
      </c>
      <c r="L39" s="51">
        <v>12</v>
      </c>
      <c r="M39" s="51">
        <v>1</v>
      </c>
    </row>
    <row r="40" spans="2:13" x14ac:dyDescent="0.25">
      <c r="B40" s="57" t="s">
        <v>112</v>
      </c>
      <c r="C40" s="58">
        <v>0.97894736842105268</v>
      </c>
      <c r="D40" s="58">
        <v>36.915789473684207</v>
      </c>
      <c r="E40" s="59">
        <v>97</v>
      </c>
      <c r="F40" s="60" t="str">
        <f>IF(B40="","",IFERROR(VLOOKUP(B40,'Base de Dados'!$Y$2:$Z$38,2,0),"Outros"))</f>
        <v>Outros</v>
      </c>
      <c r="K40" s="36" t="s">
        <v>156</v>
      </c>
      <c r="L40" s="51">
        <v>132</v>
      </c>
      <c r="M40" s="51">
        <v>4</v>
      </c>
    </row>
    <row r="41" spans="2:13" x14ac:dyDescent="0.25">
      <c r="B41" s="57" t="s">
        <v>118</v>
      </c>
      <c r="C41" s="58">
        <v>0.57916666666666672</v>
      </c>
      <c r="D41" s="58">
        <v>179.42083333333332</v>
      </c>
      <c r="E41" s="59">
        <v>100</v>
      </c>
      <c r="F41" s="60" t="str">
        <f>IF(B41="","",IFERROR(VLOOKUP(B41,'Base de Dados'!$Y$2:$Z$38,2,0),"Outros"))</f>
        <v>Outros</v>
      </c>
      <c r="K41" s="36" t="s">
        <v>158</v>
      </c>
      <c r="L41" s="51">
        <v>200</v>
      </c>
      <c r="M41" s="51">
        <v>2</v>
      </c>
    </row>
    <row r="42" spans="2:13" x14ac:dyDescent="0.25">
      <c r="B42" s="57" t="s">
        <v>124</v>
      </c>
      <c r="C42" s="58">
        <v>0.47333333333333333</v>
      </c>
      <c r="D42" s="58">
        <v>143.52666666666667</v>
      </c>
      <c r="E42" s="59">
        <v>100</v>
      </c>
      <c r="F42" s="60" t="str">
        <f>IF(B42="","",IFERROR(VLOOKUP(B42,'Base de Dados'!$Y$2:$Z$38,2,0),"Outros"))</f>
        <v>Hot pressing</v>
      </c>
      <c r="K42" s="36" t="s">
        <v>162</v>
      </c>
      <c r="L42" s="51">
        <v>180</v>
      </c>
      <c r="M42" s="51">
        <v>2</v>
      </c>
    </row>
    <row r="43" spans="2:13" x14ac:dyDescent="0.25">
      <c r="B43" s="57" t="s">
        <v>130</v>
      </c>
      <c r="C43" s="58">
        <v>0.48888888888888887</v>
      </c>
      <c r="D43" s="58">
        <v>239.51111111111109</v>
      </c>
      <c r="E43" s="59">
        <v>100</v>
      </c>
      <c r="F43" s="60" t="str">
        <f>IF(B43="","",IFERROR(VLOOKUP(B43,'Base de Dados'!$Y$2:$Z$38,2,0),"Outros"))</f>
        <v>Hot pressing</v>
      </c>
      <c r="K43" s="36" t="s">
        <v>467</v>
      </c>
      <c r="L43" s="51">
        <v>30</v>
      </c>
      <c r="M43" s="51">
        <v>1</v>
      </c>
    </row>
    <row r="44" spans="2:13" x14ac:dyDescent="0.25">
      <c r="B44" s="57" t="s">
        <v>136</v>
      </c>
      <c r="C44" s="58">
        <v>0.3</v>
      </c>
      <c r="D44" s="58">
        <v>719.7</v>
      </c>
      <c r="E44" s="59">
        <v>100</v>
      </c>
      <c r="F44" s="60" t="str">
        <f>IF(B44="","",IFERROR(VLOOKUP(B44,'Base de Dados'!$Y$2:$Z$38,2,0),"Outros"))</f>
        <v>Hot pressing</v>
      </c>
      <c r="K44" s="36" t="s">
        <v>168</v>
      </c>
      <c r="L44" s="51">
        <v>50</v>
      </c>
      <c r="M44" s="51">
        <v>2</v>
      </c>
    </row>
    <row r="45" spans="2:13" x14ac:dyDescent="0.25">
      <c r="B45" s="57" t="s">
        <v>141</v>
      </c>
      <c r="C45" s="58">
        <v>0.39469696969696971</v>
      </c>
      <c r="D45" s="58">
        <v>32.332575757575761</v>
      </c>
      <c r="E45" s="59">
        <v>99</v>
      </c>
      <c r="F45" s="60" t="str">
        <f>IF(B45="","",IFERROR(VLOOKUP(B45,'Base de Dados'!$Y$2:$Z$38,2,0),"Outros"))</f>
        <v>Waterjet</v>
      </c>
      <c r="K45" s="36" t="s">
        <v>170</v>
      </c>
      <c r="L45" s="51">
        <v>40</v>
      </c>
      <c r="M45" s="51">
        <v>1</v>
      </c>
    </row>
    <row r="46" spans="2:13" x14ac:dyDescent="0.25">
      <c r="B46" s="57" t="s">
        <v>145</v>
      </c>
      <c r="C46" s="58">
        <v>0.28666666666666668</v>
      </c>
      <c r="D46" s="58">
        <v>71.713333333333338</v>
      </c>
      <c r="E46" s="59">
        <v>100</v>
      </c>
      <c r="F46" s="60" t="str">
        <f>IF(B46="","",IFERROR(VLOOKUP(B46,'Base de Dados'!$Y$2:$Z$38,2,0),"Outros"))</f>
        <v>Hot pressing</v>
      </c>
      <c r="K46" s="36" t="s">
        <v>172</v>
      </c>
      <c r="L46" s="51">
        <v>233</v>
      </c>
      <c r="M46" s="51">
        <v>4</v>
      </c>
    </row>
    <row r="47" spans="2:13" x14ac:dyDescent="0.25">
      <c r="B47" s="57" t="s">
        <v>149</v>
      </c>
      <c r="C47" s="58">
        <v>0.33333333333333331</v>
      </c>
      <c r="D47" s="58">
        <v>719.66666666666663</v>
      </c>
      <c r="E47" s="59">
        <v>100</v>
      </c>
      <c r="F47" s="60" t="str">
        <f>IF(B47="","",IFERROR(VLOOKUP(B47,'Base de Dados'!$Y$2:$Z$38,2,0),"Outros"))</f>
        <v>Hot pressing</v>
      </c>
      <c r="K47" s="36" t="s">
        <v>175</v>
      </c>
      <c r="L47" s="51">
        <v>74</v>
      </c>
      <c r="M47" s="51">
        <v>7</v>
      </c>
    </row>
    <row r="48" spans="2:13" x14ac:dyDescent="0.25">
      <c r="B48" s="57" t="s">
        <v>154</v>
      </c>
      <c r="C48" s="58">
        <v>0.2</v>
      </c>
      <c r="D48" s="58">
        <v>719.8</v>
      </c>
      <c r="E48" s="59">
        <v>100</v>
      </c>
      <c r="F48" s="60" t="str">
        <f>IF(B48="","",IFERROR(VLOOKUP(B48,'Base de Dados'!$Y$2:$Z$38,2,0),"Outros"))</f>
        <v>Hot pressing</v>
      </c>
      <c r="K48" s="36" t="s">
        <v>177</v>
      </c>
      <c r="L48" s="51">
        <v>327</v>
      </c>
      <c r="M48" s="51">
        <v>4</v>
      </c>
    </row>
    <row r="49" spans="2:13" x14ac:dyDescent="0.25">
      <c r="B49" s="57" t="s">
        <v>156</v>
      </c>
      <c r="C49" s="58">
        <v>0.55000000000000004</v>
      </c>
      <c r="D49" s="58">
        <v>179.45</v>
      </c>
      <c r="E49" s="59">
        <v>100</v>
      </c>
      <c r="F49" s="60" t="str">
        <f>IF(B49="","",IFERROR(VLOOKUP(B49,'Base de Dados'!$Y$2:$Z$38,2,0),"Outros"))</f>
        <v>Outros</v>
      </c>
      <c r="K49" s="36" t="s">
        <v>179</v>
      </c>
      <c r="L49" s="51">
        <v>185</v>
      </c>
      <c r="M49" s="51">
        <v>5</v>
      </c>
    </row>
    <row r="50" spans="2:13" x14ac:dyDescent="0.25">
      <c r="B50" s="57" t="s">
        <v>158</v>
      </c>
      <c r="C50" s="58">
        <v>1.6666666666666667</v>
      </c>
      <c r="D50" s="58">
        <v>358.33333333333331</v>
      </c>
      <c r="E50" s="59">
        <v>100</v>
      </c>
      <c r="F50" s="60" t="str">
        <f>IF(B50="","",IFERROR(VLOOKUP(B50,'Base de Dados'!$Y$2:$Z$38,2,0),"Outros"))</f>
        <v>Hot pressing</v>
      </c>
      <c r="K50" s="36" t="s">
        <v>183</v>
      </c>
      <c r="L50" s="51">
        <v>149</v>
      </c>
      <c r="M50" s="51">
        <v>9</v>
      </c>
    </row>
    <row r="51" spans="2:13" x14ac:dyDescent="0.25">
      <c r="B51" s="57" t="s">
        <v>162</v>
      </c>
      <c r="C51" s="58">
        <v>1.5</v>
      </c>
      <c r="D51" s="58">
        <v>358.5</v>
      </c>
      <c r="E51" s="59">
        <v>100</v>
      </c>
      <c r="F51" s="60" t="str">
        <f>IF(B51="","",IFERROR(VLOOKUP(B51,'Base de Dados'!$Y$2:$Z$38,2,0),"Outros"))</f>
        <v>Hot pressing</v>
      </c>
      <c r="K51" s="36" t="s">
        <v>185</v>
      </c>
      <c r="L51" s="51">
        <v>445</v>
      </c>
      <c r="M51" s="51">
        <v>17</v>
      </c>
    </row>
    <row r="52" spans="2:13" x14ac:dyDescent="0.25">
      <c r="B52" s="57" t="s">
        <v>467</v>
      </c>
      <c r="C52" s="58">
        <v>0.5</v>
      </c>
      <c r="D52" s="58">
        <v>719.5</v>
      </c>
      <c r="E52" s="59">
        <v>100</v>
      </c>
      <c r="F52" s="60" t="str">
        <f>IF(B52="","",IFERROR(VLOOKUP(B52,'Base de Dados'!$Y$2:$Z$38,2,0),"Outros"))</f>
        <v>Outros</v>
      </c>
      <c r="K52" s="36" t="s">
        <v>506</v>
      </c>
      <c r="L52" s="51">
        <v>140</v>
      </c>
      <c r="M52" s="51">
        <v>1</v>
      </c>
    </row>
    <row r="53" spans="2:13" x14ac:dyDescent="0.25">
      <c r="B53" s="57" t="s">
        <v>168</v>
      </c>
      <c r="C53" s="58">
        <v>0.41666666666666669</v>
      </c>
      <c r="D53" s="58">
        <v>359.58333333333331</v>
      </c>
      <c r="E53" s="59">
        <v>100</v>
      </c>
      <c r="F53" s="60" t="str">
        <f>IF(B53="","",IFERROR(VLOOKUP(B53,'Base de Dados'!$Y$2:$Z$38,2,0),"Outros"))</f>
        <v>Hot pressing</v>
      </c>
      <c r="K53" s="36" t="s">
        <v>187</v>
      </c>
      <c r="L53" s="51">
        <v>241</v>
      </c>
      <c r="M53" s="51">
        <v>9</v>
      </c>
    </row>
    <row r="54" spans="2:13" x14ac:dyDescent="0.25">
      <c r="B54" s="57" t="s">
        <v>170</v>
      </c>
      <c r="C54" s="58">
        <v>0.66666666666666663</v>
      </c>
      <c r="D54" s="58">
        <v>719.33333333333337</v>
      </c>
      <c r="E54" s="59">
        <v>100</v>
      </c>
      <c r="F54" s="60" t="str">
        <f>IF(B54="","",IFERROR(VLOOKUP(B54,'Base de Dados'!$Y$2:$Z$38,2,0),"Outros"))</f>
        <v>Hot pressing</v>
      </c>
      <c r="K54" s="36" t="s">
        <v>240</v>
      </c>
      <c r="L54" s="51">
        <v>45</v>
      </c>
      <c r="M54" s="51">
        <v>2</v>
      </c>
    </row>
    <row r="55" spans="2:13" x14ac:dyDescent="0.25">
      <c r="B55" s="57" t="s">
        <v>172</v>
      </c>
      <c r="C55" s="58">
        <v>0.97083333333333333</v>
      </c>
      <c r="D55" s="58">
        <v>179.02916666666667</v>
      </c>
      <c r="E55" s="59">
        <v>99</v>
      </c>
      <c r="F55" s="60" t="str">
        <f>IF(B55="","",IFERROR(VLOOKUP(B55,'Base de Dados'!$Y$2:$Z$38,2,0),"Outros"))</f>
        <v>Carpet molding</v>
      </c>
      <c r="K55" s="36" t="s">
        <v>363</v>
      </c>
      <c r="L55" s="51">
        <v>10</v>
      </c>
      <c r="M55" s="51">
        <v>1</v>
      </c>
    </row>
    <row r="56" spans="2:13" x14ac:dyDescent="0.25">
      <c r="B56" s="57" t="s">
        <v>175</v>
      </c>
      <c r="C56" s="58">
        <v>0.17619047619047618</v>
      </c>
      <c r="D56" s="58">
        <v>102.68095238095238</v>
      </c>
      <c r="E56" s="59">
        <v>100</v>
      </c>
      <c r="F56" s="60" t="str">
        <f>IF(B56="","",IFERROR(VLOOKUP(B56,'Base de Dados'!$Y$2:$Z$38,2,0),"Outros"))</f>
        <v>Outros</v>
      </c>
      <c r="K56" s="36" t="s">
        <v>360</v>
      </c>
      <c r="L56" s="51">
        <v>47</v>
      </c>
      <c r="M56" s="51">
        <v>4</v>
      </c>
    </row>
    <row r="57" spans="2:13" x14ac:dyDescent="0.25">
      <c r="B57" s="57" t="s">
        <v>177</v>
      </c>
      <c r="C57" s="58">
        <v>1.3625</v>
      </c>
      <c r="D57" s="58">
        <v>178.63749999999999</v>
      </c>
      <c r="E57" s="59">
        <v>99</v>
      </c>
      <c r="F57" s="60" t="str">
        <f>IF(B57="","",IFERROR(VLOOKUP(B57,'Base de Dados'!$Y$2:$Z$38,2,0),"Outros"))</f>
        <v>PUR Foaming molding</v>
      </c>
      <c r="K57" s="36" t="s">
        <v>406</v>
      </c>
      <c r="L57" s="51">
        <v>60</v>
      </c>
      <c r="M57" s="51">
        <v>2</v>
      </c>
    </row>
    <row r="58" spans="2:13" x14ac:dyDescent="0.25">
      <c r="B58" s="57" t="s">
        <v>179</v>
      </c>
      <c r="C58" s="58">
        <v>0.6166666666666667</v>
      </c>
      <c r="D58" s="58">
        <v>143.38333333333333</v>
      </c>
      <c r="E58" s="59">
        <v>100</v>
      </c>
      <c r="F58" s="60" t="str">
        <f>IF(B58="","",IFERROR(VLOOKUP(B58,'Base de Dados'!$Y$2:$Z$38,2,0),"Outros"))</f>
        <v>PUR Foaming molding</v>
      </c>
      <c r="K58" s="36" t="s">
        <v>514</v>
      </c>
      <c r="L58" s="51">
        <v>7</v>
      </c>
      <c r="M58" s="51">
        <v>1</v>
      </c>
    </row>
    <row r="59" spans="2:13" x14ac:dyDescent="0.25">
      <c r="B59" s="57" t="s">
        <v>183</v>
      </c>
      <c r="C59" s="58">
        <v>0.27592592592592596</v>
      </c>
      <c r="D59" s="58">
        <v>79.724074074074068</v>
      </c>
      <c r="E59" s="59">
        <v>100</v>
      </c>
      <c r="F59" s="60" t="str">
        <f>IF(B59="","",IFERROR(VLOOKUP(B59,'Base de Dados'!$Y$2:$Z$38,2,0),"Outros"))</f>
        <v>PUR Foaming molding</v>
      </c>
      <c r="K59" s="36" t="s">
        <v>316</v>
      </c>
      <c r="L59" s="51">
        <v>21</v>
      </c>
      <c r="M59" s="51">
        <v>1</v>
      </c>
    </row>
    <row r="60" spans="2:13" x14ac:dyDescent="0.25">
      <c r="B60" s="57" t="s">
        <v>185</v>
      </c>
      <c r="C60" s="58">
        <v>0.43627450980392157</v>
      </c>
      <c r="D60" s="58">
        <v>41.916666666666671</v>
      </c>
      <c r="E60" s="59">
        <v>99</v>
      </c>
      <c r="F60" s="60" t="str">
        <f>IF(B60="","",IFERROR(VLOOKUP(B60,'Base de Dados'!$Y$2:$Z$38,2,0),"Outros"))</f>
        <v>Waterjet</v>
      </c>
      <c r="K60" s="36" t="s">
        <v>397</v>
      </c>
      <c r="L60" s="51">
        <v>21</v>
      </c>
      <c r="M60" s="51">
        <v>1</v>
      </c>
    </row>
    <row r="61" spans="2:13" x14ac:dyDescent="0.25">
      <c r="B61" s="57" t="s">
        <v>506</v>
      </c>
      <c r="C61" s="58">
        <v>2.3333333333333335</v>
      </c>
      <c r="D61" s="58">
        <v>717.66666666666663</v>
      </c>
      <c r="E61" s="59">
        <v>100</v>
      </c>
      <c r="F61" s="60" t="str">
        <f>IF(B61="","",IFERROR(VLOOKUP(B61,'Base de Dados'!$Y$2:$Z$38,2,0),"Outros"))</f>
        <v>Outros</v>
      </c>
      <c r="K61" s="36" t="s">
        <v>520</v>
      </c>
      <c r="L61" s="51">
        <v>10</v>
      </c>
      <c r="M61" s="51">
        <v>1</v>
      </c>
    </row>
    <row r="62" spans="2:13" x14ac:dyDescent="0.25">
      <c r="B62" s="57" t="s">
        <v>187</v>
      </c>
      <c r="C62" s="58">
        <v>0.4462962962962963</v>
      </c>
      <c r="D62" s="58">
        <v>79.553703703703704</v>
      </c>
      <c r="E62" s="59">
        <v>99</v>
      </c>
      <c r="F62" s="60" t="str">
        <f>IF(B62="","",IFERROR(VLOOKUP(B62,'Base de Dados'!$Y$2:$Z$38,2,0),"Outros"))</f>
        <v>Waterjet</v>
      </c>
      <c r="K62" s="36" t="s">
        <v>307</v>
      </c>
      <c r="L62" s="51">
        <v>8850</v>
      </c>
      <c r="M62" s="51">
        <v>250</v>
      </c>
    </row>
    <row r="63" spans="2:13" x14ac:dyDescent="0.25">
      <c r="B63" s="57" t="s">
        <v>240</v>
      </c>
      <c r="C63" s="58">
        <v>0.375</v>
      </c>
      <c r="D63" s="58">
        <v>359.625</v>
      </c>
      <c r="E63" s="59">
        <v>100</v>
      </c>
      <c r="F63" s="60" t="str">
        <f>IF(B63="","",IFERROR(VLOOKUP(B63,'Base de Dados'!$Y$2:$Z$38,2,0),"Outros"))</f>
        <v>Outros</v>
      </c>
    </row>
    <row r="64" spans="2:13" x14ac:dyDescent="0.25">
      <c r="B64" s="57" t="s">
        <v>363</v>
      </c>
      <c r="C64" s="58">
        <v>0.16666666666666666</v>
      </c>
      <c r="D64" s="58">
        <v>719.83333333333337</v>
      </c>
      <c r="E64" s="59">
        <v>100</v>
      </c>
      <c r="F64" s="60" t="str">
        <f>IF(B64="","",IFERROR(VLOOKUP(B64,'Base de Dados'!$Y$2:$Z$38,2,0),"Outros"))</f>
        <v>Outros</v>
      </c>
    </row>
    <row r="65" spans="2:6" x14ac:dyDescent="0.25">
      <c r="B65" s="57" t="s">
        <v>360</v>
      </c>
      <c r="C65" s="58">
        <v>0.19583333333333333</v>
      </c>
      <c r="D65" s="58">
        <v>179.80416666666667</v>
      </c>
      <c r="E65" s="59">
        <v>100</v>
      </c>
      <c r="F65" s="60" t="str">
        <f>IF(B65="","",IFERROR(VLOOKUP(B65,'Base de Dados'!$Y$2:$Z$38,2,0),"Outros"))</f>
        <v>Outros</v>
      </c>
    </row>
    <row r="66" spans="2:6" x14ac:dyDescent="0.25">
      <c r="B66" s="57" t="s">
        <v>406</v>
      </c>
      <c r="C66" s="58">
        <v>0.5</v>
      </c>
      <c r="D66" s="58">
        <v>359.5</v>
      </c>
      <c r="E66" s="59">
        <v>100</v>
      </c>
      <c r="F66" s="60" t="str">
        <f>IF(B66="","",IFERROR(VLOOKUP(B66,'Base de Dados'!$Y$2:$Z$38,2,0),"Outros"))</f>
        <v>Outros</v>
      </c>
    </row>
    <row r="67" spans="2:6" x14ac:dyDescent="0.25">
      <c r="B67" s="57" t="s">
        <v>514</v>
      </c>
      <c r="C67" s="58">
        <v>0.11666666666666667</v>
      </c>
      <c r="D67" s="58">
        <v>719.88333333333333</v>
      </c>
      <c r="E67" s="59">
        <v>100</v>
      </c>
      <c r="F67" s="60" t="str">
        <f>IF(B67="","",IFERROR(VLOOKUP(B67,'Base de Dados'!$Y$2:$Z$38,2,0),"Outros"))</f>
        <v>Outros</v>
      </c>
    </row>
    <row r="68" spans="2:6" x14ac:dyDescent="0.25">
      <c r="B68" s="57" t="s">
        <v>316</v>
      </c>
      <c r="C68" s="58">
        <v>0.35</v>
      </c>
      <c r="D68" s="58">
        <v>719.65</v>
      </c>
      <c r="E68" s="59">
        <v>100</v>
      </c>
      <c r="F68" s="60" t="str">
        <f>IF(B68="","",IFERROR(VLOOKUP(B68,'Base de Dados'!$Y$2:$Z$38,2,0),"Outros"))</f>
        <v>Outros</v>
      </c>
    </row>
    <row r="69" spans="2:6" x14ac:dyDescent="0.25">
      <c r="B69" s="57" t="s">
        <v>397</v>
      </c>
      <c r="C69" s="58">
        <v>0.35</v>
      </c>
      <c r="D69" s="58">
        <v>719.65</v>
      </c>
      <c r="E69" s="59">
        <v>100</v>
      </c>
      <c r="F69" s="60" t="str">
        <f>IF(B69="","",IFERROR(VLOOKUP(B69,'Base de Dados'!$Y$2:$Z$38,2,0),"Outros"))</f>
        <v>Outros</v>
      </c>
    </row>
    <row r="70" spans="2:6" x14ac:dyDescent="0.25">
      <c r="B70" s="57" t="s">
        <v>520</v>
      </c>
      <c r="C70" s="57">
        <v>0.16666666666666666</v>
      </c>
      <c r="D70" s="57">
        <v>719.83333333333337</v>
      </c>
      <c r="E70" s="57">
        <v>100</v>
      </c>
      <c r="F70" s="60" t="str">
        <f>IF(B70="","",IFERROR(VLOOKUP(B70,'Base de Dados'!$Y$2:$Z$38,2,0),"Outros"))</f>
        <v>Outros</v>
      </c>
    </row>
    <row r="71" spans="2:6" x14ac:dyDescent="0.25">
      <c r="B71" s="57"/>
      <c r="C71" s="57"/>
      <c r="D71" s="57"/>
      <c r="E71" s="57"/>
      <c r="F71" s="60" t="str">
        <f>IF(B71="","",IFERROR(VLOOKUP(B71,'Base de Dados'!$Y$2:$Z$38,2,0),"Outros"))</f>
        <v/>
      </c>
    </row>
    <row r="72" spans="2:6" x14ac:dyDescent="0.25">
      <c r="B72" s="57"/>
      <c r="C72" s="57"/>
      <c r="D72" s="57"/>
      <c r="E72" s="57"/>
      <c r="F72" s="60" t="str">
        <f>IF(B72="","",IFERROR(VLOOKUP(B72,'Base de Dados'!$Y$2:$Z$38,2,0),"Outros"))</f>
        <v/>
      </c>
    </row>
    <row r="73" spans="2:6" x14ac:dyDescent="0.25">
      <c r="B73" s="57"/>
      <c r="C73" s="57"/>
      <c r="D73" s="57"/>
      <c r="E73" s="57"/>
      <c r="F73" s="60" t="str">
        <f>IF(B73="","",IFERROR(VLOOKUP(B73,'Base de Dados'!$Y$2:$Z$38,2,0),"Outros"))</f>
        <v/>
      </c>
    </row>
    <row r="74" spans="2:6" x14ac:dyDescent="0.25">
      <c r="B74" s="57"/>
      <c r="C74" s="57"/>
      <c r="D74" s="57"/>
      <c r="E74" s="57"/>
      <c r="F74" s="60" t="str">
        <f>IF(B74="","",IFERROR(VLOOKUP(B74,'Base de Dados'!$Y$2:$Z$38,2,0),"Outros"))</f>
        <v/>
      </c>
    </row>
    <row r="75" spans="2:6" x14ac:dyDescent="0.25">
      <c r="B75" s="57"/>
      <c r="C75" s="57"/>
      <c r="D75" s="57"/>
      <c r="E75" s="57"/>
      <c r="F75" s="60" t="str">
        <f>IF(B75="","",IFERROR(VLOOKUP(B75,'Base de Dados'!$Y$2:$Z$38,2,0),"Outros"))</f>
        <v/>
      </c>
    </row>
    <row r="76" spans="2:6" x14ac:dyDescent="0.25">
      <c r="B76" s="57"/>
      <c r="C76" s="57"/>
      <c r="D76" s="57"/>
      <c r="E76" s="57"/>
      <c r="F76" s="60" t="str">
        <f>IF(B76="","",IFERROR(VLOOKUP(B76,'Base de Dados'!$Y$2:$Z$38,2,0),"Outros"))</f>
        <v/>
      </c>
    </row>
    <row r="77" spans="2:6" x14ac:dyDescent="0.25">
      <c r="B77" s="57"/>
      <c r="C77" s="57"/>
      <c r="D77" s="57"/>
      <c r="E77" s="57"/>
      <c r="F77" s="60" t="str">
        <f>IF(B77="","",IFERROR(VLOOKUP(B77,'Base de Dados'!$Y$2:$Z$38,2,0),"Outros"))</f>
        <v/>
      </c>
    </row>
    <row r="78" spans="2:6" x14ac:dyDescent="0.25">
      <c r="B78" s="57"/>
      <c r="C78" s="57"/>
      <c r="D78" s="57"/>
      <c r="E78" s="57"/>
      <c r="F78" s="60" t="str">
        <f>IF(B78="","",IFERROR(VLOOKUP(B78,'Base de Dados'!$Y$2:$Z$38,2,0),"Outros"))</f>
        <v/>
      </c>
    </row>
    <row r="79" spans="2:6" x14ac:dyDescent="0.25">
      <c r="B79" s="57"/>
      <c r="C79" s="57"/>
      <c r="D79" s="57"/>
      <c r="E79" s="57"/>
      <c r="F79" s="60" t="str">
        <f>IF(B79="","",IFERROR(VLOOKUP(B79,'Base de Dados'!$Y$2:$Z$38,2,0),"Outros"))</f>
        <v/>
      </c>
    </row>
    <row r="80" spans="2:6" x14ac:dyDescent="0.25">
      <c r="B80" s="57"/>
      <c r="C80" s="57"/>
      <c r="D80" s="57"/>
      <c r="E80" s="57"/>
      <c r="F80" s="60" t="str">
        <f>IF(B80="","",IFERROR(VLOOKUP(B80,'Base de Dados'!$Y$2:$Z$38,2,0),"Outros"))</f>
        <v/>
      </c>
    </row>
    <row r="81" spans="2:6" x14ac:dyDescent="0.25">
      <c r="B81" s="57"/>
      <c r="C81" s="57"/>
      <c r="D81" s="57"/>
      <c r="E81" s="57"/>
      <c r="F81" s="60" t="str">
        <f>IF(B81="","",IFERROR(VLOOKUP(B81,'Base de Dados'!$Y$2:$Z$38,2,0),"Outros"))</f>
        <v/>
      </c>
    </row>
    <row r="82" spans="2:6" x14ac:dyDescent="0.25">
      <c r="B82" s="57"/>
      <c r="C82" s="57"/>
      <c r="D82" s="57"/>
      <c r="E82" s="57"/>
      <c r="F82" s="60" t="str">
        <f>IF(B82="","",IFERROR(VLOOKUP(B82,'Base de Dados'!$Y$2:$Z$38,2,0),"Outros"))</f>
        <v/>
      </c>
    </row>
    <row r="83" spans="2:6" x14ac:dyDescent="0.25">
      <c r="B83" s="57"/>
      <c r="C83" s="57"/>
      <c r="D83" s="57"/>
      <c r="E83" s="57"/>
      <c r="F83" s="60" t="str">
        <f>IF(B83="","",IFERROR(VLOOKUP(B83,'Base de Dados'!$Y$2:$Z$38,2,0),"Outros"))</f>
        <v/>
      </c>
    </row>
    <row r="84" spans="2:6" x14ac:dyDescent="0.25">
      <c r="B84" s="57"/>
      <c r="C84" s="57"/>
      <c r="D84" s="57"/>
      <c r="E84" s="57"/>
      <c r="F84" s="60" t="str">
        <f>IF(B84="","",IFERROR(VLOOKUP(B84,'Base de Dados'!$Y$2:$Z$38,2,0),"Outros"))</f>
        <v/>
      </c>
    </row>
    <row r="85" spans="2:6" x14ac:dyDescent="0.25">
      <c r="B85" s="57"/>
      <c r="C85" s="57"/>
      <c r="D85" s="57"/>
      <c r="E85" s="57"/>
      <c r="F85" s="60" t="str">
        <f>IF(B85="","",IFERROR(VLOOKUP(B85,'Base de Dados'!$Y$2:$Z$38,2,0),"Outros"))</f>
        <v/>
      </c>
    </row>
    <row r="86" spans="2:6" x14ac:dyDescent="0.25">
      <c r="B86" s="57"/>
      <c r="C86" s="57"/>
      <c r="D86" s="57"/>
      <c r="E86" s="57"/>
      <c r="F86" s="60" t="str">
        <f>IF(B86="","",IFERROR(VLOOKUP(B86,'Base de Dados'!$Y$2:$Z$38,2,0),"Outros"))</f>
        <v/>
      </c>
    </row>
    <row r="87" spans="2:6" x14ac:dyDescent="0.25">
      <c r="B87" s="57"/>
      <c r="C87" s="57"/>
      <c r="D87" s="57"/>
      <c r="E87" s="57"/>
      <c r="F87" s="60" t="str">
        <f>IF(B87="","",IFERROR(VLOOKUP(B87,'Base de Dados'!$Y$2:$Z$38,2,0),"Outros"))</f>
        <v/>
      </c>
    </row>
    <row r="88" spans="2:6" x14ac:dyDescent="0.25">
      <c r="B88" s="57"/>
      <c r="C88" s="57"/>
      <c r="D88" s="57"/>
      <c r="E88" s="57"/>
      <c r="F88" s="60" t="str">
        <f>IF(B88="","",IFERROR(VLOOKUP(B88,'Base de Dados'!$Y$2:$Z$38,2,0),"Outros"))</f>
        <v/>
      </c>
    </row>
    <row r="89" spans="2:6" x14ac:dyDescent="0.25">
      <c r="B89" s="57"/>
      <c r="C89" s="57"/>
      <c r="D89" s="57"/>
      <c r="E89" s="57"/>
      <c r="F89" s="60" t="str">
        <f>IF(B89="","",IFERROR(VLOOKUP(B89,'Base de Dados'!$Y$2:$Z$38,2,0),"Outros"))</f>
        <v/>
      </c>
    </row>
    <row r="90" spans="2:6" x14ac:dyDescent="0.25">
      <c r="B90" s="57"/>
      <c r="C90" s="57"/>
      <c r="D90" s="57"/>
      <c r="E90" s="57"/>
      <c r="F90" s="60" t="str">
        <f>IF(B90="","",IFERROR(VLOOKUP(B90,'Base de Dados'!$Y$2:$Z$38,2,0),"Outros"))</f>
        <v/>
      </c>
    </row>
    <row r="91" spans="2:6" x14ac:dyDescent="0.25">
      <c r="B91" s="57"/>
      <c r="C91" s="57"/>
      <c r="D91" s="57"/>
      <c r="E91" s="57"/>
      <c r="F91" s="60" t="str">
        <f>IF(B91="","",IFERROR(VLOOKUP(B91,'Base de Dados'!$Y$2:$Z$38,2,0),"Outros"))</f>
        <v/>
      </c>
    </row>
    <row r="92" spans="2:6" x14ac:dyDescent="0.25">
      <c r="B92" s="57"/>
      <c r="C92" s="57"/>
      <c r="D92" s="57"/>
      <c r="E92" s="57"/>
      <c r="F92" s="60" t="str">
        <f>IF(B92="","",IFERROR(VLOOKUP(B92,'Base de Dados'!$Y$2:$Z$38,2,0),"Outros"))</f>
        <v/>
      </c>
    </row>
    <row r="93" spans="2:6" x14ac:dyDescent="0.25">
      <c r="B93" s="57"/>
      <c r="C93" s="57"/>
      <c r="D93" s="57"/>
      <c r="E93" s="57"/>
      <c r="F93" s="60" t="str">
        <f>IF(B93="","",IFERROR(VLOOKUP(B93,'Base de Dados'!$Y$2:$Z$38,2,0),"Outros"))</f>
        <v/>
      </c>
    </row>
    <row r="94" spans="2:6" x14ac:dyDescent="0.25">
      <c r="B94" s="57"/>
      <c r="C94" s="57"/>
      <c r="D94" s="57"/>
      <c r="E94" s="57"/>
      <c r="F94" s="60" t="str">
        <f>IF(B94="","",IFERROR(VLOOKUP(B94,'Base de Dados'!$Y$2:$Z$38,2,0),"Outros"))</f>
        <v/>
      </c>
    </row>
    <row r="95" spans="2:6" x14ac:dyDescent="0.25">
      <c r="B95" s="57"/>
      <c r="C95" s="57"/>
      <c r="D95" s="57"/>
      <c r="E95" s="57"/>
      <c r="F95" s="60" t="str">
        <f>IF(B95="","",IFERROR(VLOOKUP(B95,'Base de Dados'!$Y$2:$Z$38,2,0),"Outros"))</f>
        <v/>
      </c>
    </row>
    <row r="96" spans="2:6" x14ac:dyDescent="0.25">
      <c r="B96" s="57"/>
      <c r="C96" s="57"/>
      <c r="D96" s="57"/>
      <c r="E96" s="57"/>
      <c r="F96" s="60" t="str">
        <f>IF(B96="","",IFERROR(VLOOKUP(B96,'Base de Dados'!$Y$2:$Z$38,2,0),"Outros"))</f>
        <v/>
      </c>
    </row>
    <row r="97" spans="2:6" x14ac:dyDescent="0.25">
      <c r="B97" s="57"/>
      <c r="C97" s="57"/>
      <c r="D97" s="57"/>
      <c r="E97" s="57"/>
      <c r="F97" s="60" t="str">
        <f>IF(B97="","",IFERROR(VLOOKUP(B97,'Base de Dados'!$Y$2:$Z$38,2,0),"Outros"))</f>
        <v/>
      </c>
    </row>
    <row r="98" spans="2:6" x14ac:dyDescent="0.25">
      <c r="B98" s="57"/>
      <c r="C98" s="57"/>
      <c r="D98" s="57"/>
      <c r="E98" s="57"/>
      <c r="F98" s="60" t="str">
        <f>IF(B98="","",IFERROR(VLOOKUP(B98,'Base de Dados'!$Y$2:$Z$38,2,0),"Outros"))</f>
        <v/>
      </c>
    </row>
    <row r="99" spans="2:6" x14ac:dyDescent="0.25">
      <c r="B99" s="57"/>
      <c r="C99" s="57"/>
      <c r="D99" s="57"/>
      <c r="E99" s="57"/>
      <c r="F99" s="60" t="str">
        <f>IF(B99="","",IFERROR(VLOOKUP(B99,'Base de Dados'!$Y$2:$Z$38,2,0),"Outros"))</f>
        <v/>
      </c>
    </row>
    <row r="100" spans="2:6" x14ac:dyDescent="0.25">
      <c r="B100" s="57"/>
      <c r="C100" s="57"/>
      <c r="D100" s="57"/>
      <c r="E100" s="57"/>
      <c r="F100" s="60" t="str">
        <f>IF(B100="","",IFERROR(VLOOKUP(B100,'Base de Dados'!$Y$2:$Z$38,2,0),"Outros"))</f>
        <v/>
      </c>
    </row>
    <row r="101" spans="2:6" x14ac:dyDescent="0.25">
      <c r="B101" s="57"/>
      <c r="C101" s="57"/>
      <c r="D101" s="57"/>
      <c r="E101" s="57"/>
      <c r="F101" s="60" t="str">
        <f>IF(B101="","",IFERROR(VLOOKUP(B101,'Base de Dados'!$Y$2:$Z$38,2,0),"Outros"))</f>
        <v/>
      </c>
    </row>
    <row r="102" spans="2:6" x14ac:dyDescent="0.25">
      <c r="B102" s="57"/>
      <c r="C102" s="57"/>
      <c r="D102" s="57"/>
      <c r="E102" s="57"/>
      <c r="F102" s="60" t="str">
        <f>IF(B102="","",IFERROR(VLOOKUP(B102,'Base de Dados'!$Y$2:$Z$38,2,0),"Outros"))</f>
        <v/>
      </c>
    </row>
    <row r="103" spans="2:6" x14ac:dyDescent="0.25">
      <c r="B103" s="57"/>
      <c r="C103" s="57"/>
      <c r="D103" s="57"/>
      <c r="E103" s="57"/>
      <c r="F103" s="60" t="str">
        <f>IF(B103="","",IFERROR(VLOOKUP(B103,'Base de Dados'!$Y$2:$Z$38,2,0),"Outros"))</f>
        <v/>
      </c>
    </row>
    <row r="104" spans="2:6" x14ac:dyDescent="0.25">
      <c r="B104" s="57"/>
      <c r="C104" s="57"/>
      <c r="D104" s="57"/>
      <c r="E104" s="57"/>
      <c r="F104" s="60" t="str">
        <f>IF(B104="","",IFERROR(VLOOKUP(B104,'Base de Dados'!$Y$2:$Z$38,2,0),"Outros"))</f>
        <v/>
      </c>
    </row>
    <row r="105" spans="2:6" x14ac:dyDescent="0.25">
      <c r="B105" s="57"/>
      <c r="C105" s="57"/>
      <c r="D105" s="57"/>
      <c r="E105" s="57"/>
      <c r="F105" s="60" t="str">
        <f>IF(B105="","",IFERROR(VLOOKUP(B105,'Base de Dados'!$Y$2:$Z$38,2,0),"Outros"))</f>
        <v/>
      </c>
    </row>
    <row r="106" spans="2:6" x14ac:dyDescent="0.25">
      <c r="B106" s="57"/>
      <c r="C106" s="57"/>
      <c r="D106" s="57"/>
      <c r="E106" s="57"/>
      <c r="F106" s="60" t="str">
        <f>IF(B106="","",IFERROR(VLOOKUP(B106,'Base de Dados'!$Y$2:$Z$38,2,0),"Outros"))</f>
        <v/>
      </c>
    </row>
    <row r="107" spans="2:6" x14ac:dyDescent="0.25">
      <c r="B107" s="57"/>
      <c r="C107" s="57"/>
      <c r="D107" s="57"/>
      <c r="E107" s="57"/>
      <c r="F107" s="60" t="str">
        <f>IF(B107="","",IFERROR(VLOOKUP(B107,'Base de Dados'!$Y$2:$Z$38,2,0),"Outros"))</f>
        <v/>
      </c>
    </row>
    <row r="108" spans="2:6" x14ac:dyDescent="0.25">
      <c r="B108" s="57"/>
      <c r="C108" s="57"/>
      <c r="D108" s="57"/>
      <c r="E108" s="57"/>
      <c r="F108" s="60" t="str">
        <f>IF(B108="","",IFERROR(VLOOKUP(B108,'Base de Dados'!$Y$2:$Z$38,2,0),"Outros"))</f>
        <v/>
      </c>
    </row>
    <row r="109" spans="2:6" x14ac:dyDescent="0.25">
      <c r="B109" s="57"/>
      <c r="C109" s="57"/>
      <c r="D109" s="57"/>
      <c r="E109" s="57"/>
      <c r="F109" s="60" t="str">
        <f>IF(B109="","",IFERROR(VLOOKUP(B109,'Base de Dados'!$Y$2:$Z$38,2,0),"Outros"))</f>
        <v/>
      </c>
    </row>
    <row r="110" spans="2:6" x14ac:dyDescent="0.25">
      <c r="B110" s="57"/>
      <c r="C110" s="57"/>
      <c r="D110" s="57"/>
      <c r="E110" s="57"/>
      <c r="F110" s="60" t="str">
        <f>IF(B110="","",IFERROR(VLOOKUP(B110,'Base de Dados'!$Y$2:$Z$38,2,0),"Outros"))</f>
        <v/>
      </c>
    </row>
    <row r="111" spans="2:6" x14ac:dyDescent="0.25">
      <c r="B111" s="57"/>
      <c r="C111" s="57"/>
      <c r="D111" s="57"/>
      <c r="E111" s="57"/>
      <c r="F111" s="60" t="str">
        <f>IF(B111="","",IFERROR(VLOOKUP(B111,'Base de Dados'!$Y$2:$Z$38,2,0),"Outros"))</f>
        <v/>
      </c>
    </row>
    <row r="112" spans="2:6" x14ac:dyDescent="0.25">
      <c r="B112" s="57"/>
      <c r="C112" s="57"/>
      <c r="D112" s="57"/>
      <c r="E112" s="57"/>
      <c r="F112" s="60" t="str">
        <f>IF(B112="","",IFERROR(VLOOKUP(B112,'Base de Dados'!$Y$2:$Z$38,2,0),"Outros"))</f>
        <v/>
      </c>
    </row>
    <row r="113" spans="2:6" x14ac:dyDescent="0.25">
      <c r="B113" s="57"/>
      <c r="C113" s="57"/>
      <c r="D113" s="57"/>
      <c r="E113" s="57"/>
      <c r="F113" s="60" t="str">
        <f>IF(B113="","",IFERROR(VLOOKUP(B113,'Base de Dados'!$Y$2:$Z$38,2,0),"Outros"))</f>
        <v/>
      </c>
    </row>
    <row r="114" spans="2:6" x14ac:dyDescent="0.25">
      <c r="B114" s="57"/>
      <c r="C114" s="57"/>
      <c r="D114" s="57"/>
      <c r="E114" s="57"/>
      <c r="F114" s="60" t="str">
        <f>IF(B114="","",IFERROR(VLOOKUP(B114,'Base de Dados'!$Y$2:$Z$38,2,0),"Outros"))</f>
        <v/>
      </c>
    </row>
    <row r="115" spans="2:6" x14ac:dyDescent="0.25">
      <c r="B115" s="57"/>
      <c r="C115" s="57"/>
      <c r="D115" s="57"/>
      <c r="E115" s="57"/>
      <c r="F115" s="60" t="str">
        <f>IF(B115="","",IFERROR(VLOOKUP(B115,'Base de Dados'!$Y$2:$Z$38,2,0),"Outros"))</f>
        <v/>
      </c>
    </row>
    <row r="116" spans="2:6" x14ac:dyDescent="0.25">
      <c r="B116" s="61"/>
      <c r="C116" s="61"/>
      <c r="D116" s="61"/>
      <c r="E116" s="61"/>
      <c r="F116" s="62" t="str">
        <f>IF(B116="","",IFERROR(VLOOKUP(B116,'Base de Dados'!$Y$2:$Z$38,2,0),"Outros"))</f>
        <v/>
      </c>
    </row>
  </sheetData>
  <sortState ref="V1:X21">
    <sortCondition descending="1" ref="X2:X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W10"/>
  <sheetViews>
    <sheetView showGridLines="0" showRowColHeaders="0" tabSelected="1" workbookViewId="0">
      <selection activeCell="I3" sqref="I3:J3"/>
    </sheetView>
  </sheetViews>
  <sheetFormatPr defaultRowHeight="15" x14ac:dyDescent="0.25"/>
  <cols>
    <col min="1" max="1" width="6" customWidth="1"/>
    <col min="2" max="2" width="9" customWidth="1"/>
    <col min="3" max="3" width="13.28515625" customWidth="1"/>
    <col min="4" max="4" width="9" customWidth="1"/>
    <col min="5" max="5" width="2.85546875" customWidth="1"/>
    <col min="6" max="6" width="9" customWidth="1"/>
    <col min="7" max="7" width="13.28515625" customWidth="1"/>
    <col min="8" max="8" width="9" customWidth="1"/>
    <col min="9" max="9" width="3.28515625" customWidth="1"/>
    <col min="10" max="10" width="9" customWidth="1"/>
    <col min="11" max="11" width="13.28515625" customWidth="1"/>
    <col min="12" max="12" width="9" customWidth="1"/>
    <col min="13" max="13" width="3" customWidth="1"/>
    <col min="14" max="14" width="9" customWidth="1"/>
    <col min="15" max="15" width="13.28515625" customWidth="1"/>
    <col min="16" max="16" width="9" customWidth="1"/>
    <col min="17" max="17" width="3.7109375" customWidth="1"/>
    <col min="20" max="20" width="8.7109375" customWidth="1"/>
    <col min="21" max="21" width="8.140625" customWidth="1"/>
    <col min="23" max="23" width="3.140625" customWidth="1"/>
  </cols>
  <sheetData>
    <row r="1" spans="1:23" s="28" customFormat="1" ht="37.5" customHeight="1" x14ac:dyDescent="0.35">
      <c r="A1" s="69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Novembro de 2022</v>
      </c>
      <c r="B1" s="69"/>
      <c r="C1" s="69"/>
      <c r="D1" s="69"/>
      <c r="E1" s="69"/>
      <c r="F1" s="69"/>
      <c r="I1" s="66" t="s">
        <v>261</v>
      </c>
      <c r="J1" s="66"/>
      <c r="K1" s="66"/>
      <c r="L1" s="66"/>
      <c r="M1" s="66"/>
      <c r="Q1" s="65" t="s">
        <v>306</v>
      </c>
      <c r="R1" s="65"/>
      <c r="S1" s="65"/>
      <c r="T1" s="65"/>
      <c r="U1" s="65"/>
      <c r="V1" s="65"/>
      <c r="W1" s="65"/>
    </row>
    <row r="2" spans="1:23" ht="8.25" customHeight="1" x14ac:dyDescent="0.25">
      <c r="A2" s="68"/>
      <c r="B2" s="68"/>
      <c r="C2" s="68"/>
      <c r="D2" s="68"/>
      <c r="F2" t="s">
        <v>293</v>
      </c>
      <c r="J2" s="34">
        <f ca="1">IFERROR(VLOOKUP(mes,tabela_mes,4,0),0)</f>
        <v>30</v>
      </c>
    </row>
    <row r="3" spans="1:23" ht="17.25" customHeight="1" x14ac:dyDescent="0.25">
      <c r="A3" s="67"/>
      <c r="B3" s="67"/>
      <c r="C3" s="67"/>
      <c r="D3" s="67"/>
      <c r="E3" s="38"/>
      <c r="F3" s="29" t="s">
        <v>265</v>
      </c>
      <c r="G3" s="31">
        <v>2022</v>
      </c>
      <c r="H3" s="29" t="s">
        <v>264</v>
      </c>
      <c r="I3" s="70" t="s">
        <v>291</v>
      </c>
      <c r="J3" s="71"/>
      <c r="K3" s="29" t="s">
        <v>267</v>
      </c>
      <c r="L3" s="70"/>
      <c r="M3" s="71"/>
      <c r="N3" s="29" t="s">
        <v>266</v>
      </c>
      <c r="O3" s="31" t="s">
        <v>534</v>
      </c>
    </row>
    <row r="4" spans="1:23" ht="15.75" x14ac:dyDescent="0.25">
      <c r="S4" s="109" t="s">
        <v>535</v>
      </c>
      <c r="T4" s="109"/>
      <c r="U4" s="109"/>
      <c r="V4" s="109"/>
    </row>
    <row r="5" spans="1:23" x14ac:dyDescent="0.25">
      <c r="R5" s="97" t="s">
        <v>280</v>
      </c>
      <c r="S5" s="98"/>
      <c r="T5" s="99"/>
      <c r="U5" s="70"/>
      <c r="V5" s="71"/>
    </row>
    <row r="6" spans="1:23" x14ac:dyDescent="0.25">
      <c r="B6" s="72" t="s">
        <v>262</v>
      </c>
      <c r="C6" s="73"/>
      <c r="D6" s="74"/>
      <c r="F6" s="75" t="s">
        <v>263</v>
      </c>
      <c r="G6" s="76"/>
      <c r="H6" s="77"/>
      <c r="J6" s="78" t="s">
        <v>597</v>
      </c>
      <c r="K6" s="79"/>
      <c r="L6" s="80"/>
      <c r="N6" s="100" t="s">
        <v>271</v>
      </c>
      <c r="O6" s="101"/>
      <c r="P6" s="102"/>
      <c r="R6" s="97" t="s">
        <v>536</v>
      </c>
      <c r="S6" s="98"/>
      <c r="T6" s="99"/>
      <c r="U6" s="70"/>
      <c r="V6" s="71"/>
    </row>
    <row r="7" spans="1:23" x14ac:dyDescent="0.25">
      <c r="B7" s="81" t="str">
        <f>ROUND(Calculos!C3,1) &amp; " " &amp; Calculos!D3</f>
        <v>0,6 hrs</v>
      </c>
      <c r="C7" s="82"/>
      <c r="D7" s="83"/>
      <c r="F7" s="87" t="str">
        <f>ROUND(Calculos!C4,2) &amp; " " &amp; Calculos!D4</f>
        <v>339,92 hrs</v>
      </c>
      <c r="G7" s="82"/>
      <c r="H7" s="88"/>
      <c r="J7" s="92">
        <f>Calculos!C5</f>
        <v>250</v>
      </c>
      <c r="K7" s="82"/>
      <c r="L7" s="93"/>
      <c r="N7" s="103">
        <f>Calculos!C6</f>
        <v>0.99722222222222223</v>
      </c>
      <c r="O7" s="104"/>
      <c r="P7" s="105"/>
      <c r="R7" s="97" t="s">
        <v>537</v>
      </c>
      <c r="S7" s="98"/>
      <c r="T7" s="99"/>
      <c r="U7" s="70"/>
      <c r="V7" s="71"/>
    </row>
    <row r="8" spans="1:23" x14ac:dyDescent="0.25">
      <c r="B8" s="84"/>
      <c r="C8" s="85"/>
      <c r="D8" s="86"/>
      <c r="F8" s="89"/>
      <c r="G8" s="90"/>
      <c r="H8" s="91"/>
      <c r="J8" s="94"/>
      <c r="K8" s="95"/>
      <c r="L8" s="96"/>
      <c r="N8" s="106"/>
      <c r="O8" s="107"/>
      <c r="P8" s="108"/>
      <c r="R8" s="97" t="s">
        <v>538</v>
      </c>
      <c r="S8" s="98"/>
      <c r="T8" s="99"/>
      <c r="U8" s="70"/>
      <c r="V8" s="71"/>
    </row>
    <row r="9" spans="1:23" ht="15" customHeight="1" x14ac:dyDescent="0.25">
      <c r="R9" s="97" t="s">
        <v>539</v>
      </c>
      <c r="S9" s="98"/>
      <c r="T9" s="99"/>
      <c r="U9" s="70"/>
      <c r="V9" s="71"/>
    </row>
    <row r="10" spans="1:23" ht="15" customHeight="1" x14ac:dyDescent="0.25">
      <c r="R10" s="97" t="s">
        <v>540</v>
      </c>
      <c r="S10" s="98"/>
      <c r="T10" s="99"/>
      <c r="U10" s="70"/>
      <c r="V10" s="71"/>
    </row>
  </sheetData>
  <mergeCells count="28">
    <mergeCell ref="R10:T10"/>
    <mergeCell ref="U10:V10"/>
    <mergeCell ref="L3:M3"/>
    <mergeCell ref="N6:P6"/>
    <mergeCell ref="N7:P8"/>
    <mergeCell ref="R9:T9"/>
    <mergeCell ref="U9:V9"/>
    <mergeCell ref="R6:T6"/>
    <mergeCell ref="U6:V6"/>
    <mergeCell ref="R7:T7"/>
    <mergeCell ref="U7:V7"/>
    <mergeCell ref="R8:T8"/>
    <mergeCell ref="U8:V8"/>
    <mergeCell ref="U5:V5"/>
    <mergeCell ref="R5:T5"/>
    <mergeCell ref="S4:V4"/>
    <mergeCell ref="B6:D6"/>
    <mergeCell ref="F6:H6"/>
    <mergeCell ref="J6:L6"/>
    <mergeCell ref="B7:D8"/>
    <mergeCell ref="F7:H8"/>
    <mergeCell ref="J7:L8"/>
    <mergeCell ref="Q1:W1"/>
    <mergeCell ref="I1:M1"/>
    <mergeCell ref="A3:D3"/>
    <mergeCell ref="A2:D2"/>
    <mergeCell ref="A1:F1"/>
    <mergeCell ref="I3:J3"/>
  </mergeCells>
  <dataValidations count="2">
    <dataValidation type="whole" showInputMessage="1" showErrorMessage="1" errorTitle="Atenção !!" error="O campo não pode ficar vasio!_x000a_" sqref="G3 U5:U10">
      <formula1>2000</formula1>
      <formula2>2033</formula2>
    </dataValidation>
    <dataValidation type="whole" allowBlank="1" showInputMessage="1" showErrorMessage="1" errorTitle="Erro de Data" error="O mês selecionado não em este dia!!" sqref="L3:M3">
      <formula1>1</formula1>
      <formula2>J2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de Dados'!$M$23:$M$26</xm:f>
          </x14:formula1>
          <xm:sqref>O3</xm:sqref>
        </x14:dataValidation>
        <x14:dataValidation type="list" allowBlank="1" showInputMessage="1" showErrorMessage="1">
          <x14:formula1>
            <xm:f>'Base de Dados'!$F$24:$F$35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T8"/>
  <sheetViews>
    <sheetView showGridLines="0" showRowColHeaders="0" workbookViewId="0">
      <selection activeCell="J4" sqref="J4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69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terça-feira, 17 de janeiro de 2023</v>
      </c>
      <c r="B1" s="69"/>
      <c r="C1" s="69"/>
      <c r="D1" s="69"/>
      <c r="E1" s="69"/>
      <c r="F1" s="69"/>
      <c r="I1" s="117" t="s">
        <v>541</v>
      </c>
      <c r="J1" s="117"/>
      <c r="K1" s="117"/>
      <c r="L1" s="117"/>
      <c r="P1" s="65" t="s">
        <v>306</v>
      </c>
      <c r="Q1" s="65"/>
      <c r="R1" s="65"/>
      <c r="S1" s="65"/>
      <c r="T1" s="65"/>
    </row>
    <row r="2" spans="1:20" ht="16.5" customHeight="1" x14ac:dyDescent="0.25">
      <c r="A2" s="68"/>
      <c r="B2" s="68"/>
      <c r="C2" s="68"/>
      <c r="D2" s="68"/>
      <c r="E2" s="68"/>
      <c r="F2" s="34">
        <f ca="1">IFERROR(VLOOKUP(mes,tabela_mes,4,0),0)</f>
        <v>31</v>
      </c>
    </row>
    <row r="3" spans="1:20" x14ac:dyDescent="0.25">
      <c r="D3" s="29" t="s">
        <v>265</v>
      </c>
      <c r="E3" s="31">
        <v>2023</v>
      </c>
      <c r="F3" s="40" t="s">
        <v>264</v>
      </c>
      <c r="G3" s="39" t="s">
        <v>268</v>
      </c>
      <c r="H3" s="29" t="s">
        <v>267</v>
      </c>
      <c r="I3" s="39">
        <v>17</v>
      </c>
      <c r="J3" s="29" t="s">
        <v>266</v>
      </c>
      <c r="K3" s="31" t="s">
        <v>534</v>
      </c>
      <c r="M3" s="29" t="s">
        <v>544</v>
      </c>
      <c r="N3" s="31">
        <v>15</v>
      </c>
    </row>
    <row r="5" spans="1:20" ht="18" customHeight="1" x14ac:dyDescent="0.25"/>
    <row r="6" spans="1:20" ht="20.25" customHeight="1" x14ac:dyDescent="0.25">
      <c r="D6" s="41"/>
      <c r="N6" s="116" t="s">
        <v>551</v>
      </c>
      <c r="O6" s="116"/>
      <c r="P6" s="116"/>
      <c r="Q6" s="116"/>
      <c r="R6" s="116"/>
    </row>
    <row r="7" spans="1:20" ht="23.25" customHeight="1" x14ac:dyDescent="0.3">
      <c r="N7" s="110" t="str">
        <f>IFERROR(VLOOKUP(matricula,'Base de Dados'!I2:J21,2,0),"")</f>
        <v>ROBERT</v>
      </c>
      <c r="O7" s="111"/>
      <c r="P7" s="111"/>
      <c r="Q7" s="111"/>
      <c r="R7" s="112"/>
    </row>
    <row r="8" spans="1:20" ht="23.25" x14ac:dyDescent="0.25">
      <c r="N8" s="113" t="s">
        <v>598</v>
      </c>
      <c r="O8" s="114"/>
      <c r="P8" s="114"/>
      <c r="Q8" s="114"/>
      <c r="R8" s="115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>
      <formula1>1</formula1>
      <formula2>F2</formula2>
    </dataValidation>
    <dataValidation type="whole" showInputMessage="1" showErrorMessage="1" errorTitle="Atenção !!" error="O campo não pode ficar vasio!_x000a_" sqref="E3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Dados'!$M$23:$M$26</xm:f>
          </x14:formula1>
          <xm:sqref>K3</xm:sqref>
        </x14:dataValidation>
        <x14:dataValidation type="list" showInputMessage="1" showErrorMessage="1">
          <x14:formula1>
            <xm:f>'Base de Dados'!$I$2:$I$21</xm:f>
          </x14:formula1>
          <xm:sqref>N3</xm:sqref>
        </x14:dataValidation>
        <x14:dataValidation type="list" allowBlank="1" showInputMessage="1" showErrorMessage="1">
          <x14:formula1>
            <xm:f>'Base de Dados'!$F$24:$F$35</xm:f>
          </x14:formula1>
          <xm:sqref>G3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7127E2-98F8-4B30-89BB-0A649A1E68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40</vt:i4>
      </vt:variant>
    </vt:vector>
  </HeadingPairs>
  <TitlesOfParts>
    <vt:vector size="46" baseType="lpstr">
      <vt:lpstr>Base de Dados</vt:lpstr>
      <vt:lpstr>Tempo de Produção</vt:lpstr>
      <vt:lpstr>Registro</vt:lpstr>
      <vt:lpstr>Calculos</vt:lpstr>
      <vt:lpstr>Indicadores</vt:lpstr>
      <vt:lpstr>Tempo de Serviço</vt:lpstr>
      <vt:lpstr>'Tempo de Serviço'!ano</vt:lpstr>
      <vt:lpstr>ano</vt:lpstr>
      <vt:lpstr>breakdown</vt:lpstr>
      <vt:lpstr>cod_Causa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mtbf_unidade</vt:lpstr>
      <vt:lpstr>mtbf_wj</vt:lpstr>
      <vt:lpstr>mttr</vt:lpstr>
      <vt:lpstr>mttr_cm</vt:lpstr>
      <vt:lpstr>mttr_hp</vt:lpstr>
      <vt:lpstr>mttr_lwf</vt:lpstr>
      <vt:lpstr>mttr_pur</vt:lpstr>
      <vt:lpstr>mttr_unidade</vt:lpstr>
      <vt:lpstr>mttr_wj</vt:lpstr>
      <vt:lpstr>QQ</vt:lpstr>
      <vt:lpstr>serviceTime</vt:lpstr>
      <vt:lpstr>SetupNumber</vt:lpstr>
      <vt:lpstr>SomaTempoParada</vt:lpstr>
      <vt:lpstr>SomaTempoSetup</vt:lpstr>
      <vt:lpstr>tabela_mes</vt:lpstr>
      <vt:lpstr>tableCase</vt:lpstr>
      <vt:lpstr>tags</vt:lpstr>
      <vt:lpstr>TagsIndicators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Manutenção Pernambuco</cp:lastModifiedBy>
  <dcterms:created xsi:type="dcterms:W3CDTF">2023-01-09T12:35:51Z</dcterms:created>
  <dcterms:modified xsi:type="dcterms:W3CDTF">2023-01-18T13:18:31Z</dcterms:modified>
</cp:coreProperties>
</file>