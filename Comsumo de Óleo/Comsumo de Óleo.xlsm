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E:\MaintenanceIndicators\Comsumo de Óleo\"/>
    </mc:Choice>
  </mc:AlternateContent>
  <bookViews>
    <workbookView xWindow="0" yWindow="0" windowWidth="20490" windowHeight="7155" activeTab="1"/>
  </bookViews>
  <sheets>
    <sheet name="Janeiro" sheetId="1" r:id="rId1"/>
    <sheet name="tools" sheetId="2" r:id="rId2"/>
  </sheets>
  <definedNames>
    <definedName name="tags">tools!$B$3:$B$56</definedName>
    <definedName name="tipos">tools!$E$3:$E$4</definedName>
  </definedNames>
  <calcPr calcId="152511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6" i="1" l="1"/>
  <c r="V6" i="1"/>
  <c r="E9" i="1"/>
  <c r="F9" i="1" s="1"/>
  <c r="Y8" i="1" s="1"/>
  <c r="E6" i="1"/>
  <c r="Y5" i="1" l="1"/>
  <c r="Y7" i="1" s="1"/>
  <c r="F6" i="1"/>
  <c r="V5" i="1" s="1"/>
  <c r="V7" i="1" s="1"/>
  <c r="V8" i="1" l="1"/>
</calcChain>
</file>

<file path=xl/sharedStrings.xml><?xml version="1.0" encoding="utf-8"?>
<sst xmlns="http://schemas.openxmlformats.org/spreadsheetml/2006/main" count="152" uniqueCount="84">
  <si>
    <t>Adler Pelzer Group</t>
  </si>
  <si>
    <t>Data</t>
  </si>
  <si>
    <t>Máquina</t>
  </si>
  <si>
    <t>Tipo</t>
  </si>
  <si>
    <t>Quantidade</t>
  </si>
  <si>
    <t>Saldo Anterior</t>
  </si>
  <si>
    <t>Total de Entrada</t>
  </si>
  <si>
    <t>Saldo atual</t>
  </si>
  <si>
    <t>CONTROLE DO CONSUMO DE ÓLEO</t>
  </si>
  <si>
    <t>Total de Saídas</t>
  </si>
  <si>
    <t>Valor</t>
  </si>
  <si>
    <t xml:space="preserve">Estque </t>
  </si>
  <si>
    <t>Marcador</t>
  </si>
  <si>
    <t>Complemento</t>
  </si>
  <si>
    <t>Óleo 68 - Hidráulico</t>
  </si>
  <si>
    <t>Óleo 100 - Térmico</t>
  </si>
  <si>
    <t>Porcentagem</t>
  </si>
  <si>
    <t>M42</t>
  </si>
  <si>
    <t>M45</t>
  </si>
  <si>
    <t>M43</t>
  </si>
  <si>
    <t>Rótulos de Linha</t>
  </si>
  <si>
    <t>Total Geral</t>
  </si>
  <si>
    <t>Soma de Quantidade</t>
  </si>
  <si>
    <t>Rótulos de Coluna</t>
  </si>
  <si>
    <t>21/22/2023</t>
  </si>
  <si>
    <t>M01</t>
  </si>
  <si>
    <t>UTE-01</t>
  </si>
  <si>
    <t>M02</t>
  </si>
  <si>
    <t>M03</t>
  </si>
  <si>
    <t>M04</t>
  </si>
  <si>
    <t>M06</t>
  </si>
  <si>
    <t>UTE-02</t>
  </si>
  <si>
    <t>M07</t>
  </si>
  <si>
    <t>M08</t>
  </si>
  <si>
    <t>M09</t>
  </si>
  <si>
    <t>M10</t>
  </si>
  <si>
    <t>M11</t>
  </si>
  <si>
    <t>M12</t>
  </si>
  <si>
    <t>M13</t>
  </si>
  <si>
    <t>M25</t>
  </si>
  <si>
    <t>M30</t>
  </si>
  <si>
    <t>M14</t>
  </si>
  <si>
    <t>UTE-03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</si>
  <si>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</si>
  <si>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</si>
  <si>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</si>
  <si>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</si>
  <si>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</si>
  <si>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</si>
  <si>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</si>
  <si>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</si>
  <si>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</si>
  <si>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</si>
  <si>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UTE-04</t>
  </si>
  <si>
    <t>M26</t>
  </si>
  <si>
    <t>M27</t>
  </si>
  <si>
    <t>M28</t>
  </si>
  <si>
    <t>M29</t>
  </si>
  <si>
    <t>M32</t>
  </si>
  <si>
    <t>M33</t>
  </si>
  <si>
    <t>M34</t>
  </si>
  <si>
    <t>M35</t>
  </si>
  <si>
    <t>UTE-05</t>
  </si>
  <si>
    <t>M36</t>
  </si>
  <si>
    <t>M37</t>
  </si>
  <si>
    <t>M38</t>
  </si>
  <si>
    <t>M39</t>
  </si>
  <si>
    <t>M40</t>
  </si>
  <si>
    <t>M41</t>
  </si>
  <si>
    <t>M44</t>
  </si>
  <si>
    <t>ColeiroV.Melto-226</t>
  </si>
  <si>
    <t>ColeiroV.Melto-521</t>
  </si>
  <si>
    <t>ColeiroM.Melt-551</t>
  </si>
  <si>
    <t>ColeiroUTE4</t>
  </si>
  <si>
    <t>Intensif.M22</t>
  </si>
  <si>
    <t>Intensif.M41</t>
  </si>
  <si>
    <t>Intensif.M42</t>
  </si>
  <si>
    <t>Aquece.Óleo</t>
  </si>
  <si>
    <t>Aquecedores</t>
  </si>
  <si>
    <t>Serralheria</t>
  </si>
  <si>
    <t>Quimico</t>
  </si>
  <si>
    <t>Aquece.Água</t>
  </si>
  <si>
    <t>Hidráulico</t>
  </si>
  <si>
    <t>Térmico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</si>
</sst>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0\ \L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/>
      <right/>
      <top style="thin">
        <color theme="8" tint="-0.249977111117893"/>
      </top>
      <bottom style="thin">
        <color theme="8" tint="-0.249977111117893"/>
      </bottom>
      <diagonal/>
    </border>
    <border>
      <left/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9" fontId="0" fillId="0" borderId="0" xfId="1" applyFont="1"/>
    <xf numFmtId="9" fontId="0" fillId="0" borderId="1" xfId="1" applyFont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0" borderId="1" xfId="1" applyNumberFormat="1" applyFont="1" applyBorder="1" applyAlignment="1">
      <alignment horizontal="center" vertic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0" fontId="0" fillId="0" borderId="5" xfId="0" applyBorder="1"/>
  </cellXfs>
  <cellStyles count="2">
    <cellStyle name="Normal" xfId="0" builtinId="0"/>
    <cellStyle name="Porcentagem" xfId="1" builtinId="5"/>
  </cellStyles>
  <dxfs count="5">
    <dxf>
      <numFmt numFmtId="164" formatCode="#0\ \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05286064813512"/>
          <c:y val="0"/>
          <c:w val="0.84679961200502107"/>
          <c:h val="1"/>
        </c:manualLayout>
      </c:layout>
      <c:doughnutChart>
        <c:varyColors val="1"/>
        <c:ser>
          <c:idx val="0"/>
          <c:order val="0"/>
          <c:tx>
            <c:strRef>
              <c:f>Janeiro!$V$9</c:f>
              <c:strCache>
                <c:ptCount val="1"/>
              </c:strCache>
            </c:strRef>
          </c:tx>
          <c:spPr>
            <a:ln w="6350">
              <a:solidFill>
                <a:schemeClr val="tx1">
                  <a:lumMod val="95000"/>
                  <a:lumOff val="5000"/>
                </a:schemeClr>
              </a:solidFill>
            </a:ln>
          </c:spPr>
          <c:dPt>
            <c:idx val="0"/>
            <c:bubble3D val="0"/>
            <c:spPr>
              <a:solidFill>
                <a:srgbClr val="FF00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2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FFC0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FFC0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FFFF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FFFF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92D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92D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00B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00B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1"/>
            <c:bubble3D val="0"/>
            <c:spPr>
              <a:noFill/>
              <a:ln w="6350">
                <a:noFill/>
              </a:ln>
              <a:effectLst/>
            </c:spPr>
          </c:dPt>
          <c:cat>
            <c:numRef>
              <c:f>Janeiro!$X$10:$X$21</c:f>
              <c:numCache>
                <c:formatCode>0%</c:formatCode>
                <c:ptCount val="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</c:v>
                </c:pt>
              </c:numCache>
            </c:numRef>
          </c:cat>
          <c:val>
            <c:numRef>
              <c:f>Janeiro!$Y$10:$Y$21</c:f>
              <c:numCache>
                <c:formatCode>General</c:formatCode>
                <c:ptCount val="12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462804433642754E-2"/>
          <c:y val="6.930208871538257E-2"/>
          <c:w val="0.88387886446559327"/>
          <c:h val="0.93069791128461743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</c:dPt>
          <c:cat>
            <c:strRef>
              <c:f>Janeiro!$U$5:$U$7</c:f>
              <c:strCache>
                <c:ptCount val="3"/>
                <c:pt idx="0">
                  <c:v>Estque </c:v>
                </c:pt>
                <c:pt idx="1">
                  <c:v>Marcador</c:v>
                </c:pt>
                <c:pt idx="2">
                  <c:v>Complemento</c:v>
                </c:pt>
              </c:strCache>
            </c:strRef>
          </c:cat>
          <c:val>
            <c:numRef>
              <c:f>Janeiro!$V$5:$V$7</c:f>
              <c:numCache>
                <c:formatCode>#0\ \L</c:formatCode>
                <c:ptCount val="3"/>
                <c:pt idx="0">
                  <c:v>80</c:v>
                </c:pt>
                <c:pt idx="1">
                  <c:v>10</c:v>
                </c:pt>
                <c:pt idx="2">
                  <c:v>910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05286064813512"/>
          <c:y val="0"/>
          <c:w val="0.84679961200502107"/>
          <c:h val="1"/>
        </c:manualLayout>
      </c:layout>
      <c:doughnutChart>
        <c:varyColors val="1"/>
        <c:ser>
          <c:idx val="0"/>
          <c:order val="0"/>
          <c:tx>
            <c:strRef>
              <c:f>Janeiro!$V$9</c:f>
              <c:strCache>
                <c:ptCount val="1"/>
              </c:strCache>
            </c:strRef>
          </c:tx>
          <c:spPr>
            <a:ln w="6350">
              <a:solidFill>
                <a:schemeClr val="tx1">
                  <a:lumMod val="95000"/>
                  <a:lumOff val="5000"/>
                </a:schemeClr>
              </a:solidFill>
            </a:ln>
          </c:spPr>
          <c:dPt>
            <c:idx val="0"/>
            <c:bubble3D val="0"/>
            <c:spPr>
              <a:solidFill>
                <a:srgbClr val="FF00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2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FFC0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FFC0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FFFF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FFFF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92D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92D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00B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00B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1"/>
            <c:bubble3D val="0"/>
            <c:spPr>
              <a:noFill/>
              <a:ln w="6350">
                <a:noFill/>
              </a:ln>
              <a:effectLst/>
            </c:spPr>
          </c:dPt>
          <c:cat>
            <c:numRef>
              <c:f>Janeiro!$X$10:$X$21</c:f>
              <c:numCache>
                <c:formatCode>0%</c:formatCode>
                <c:ptCount val="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</c:v>
                </c:pt>
              </c:numCache>
            </c:numRef>
          </c:cat>
          <c:val>
            <c:numRef>
              <c:f>Janeiro!$Y$10:$Y$21</c:f>
              <c:numCache>
                <c:formatCode>General</c:formatCode>
                <c:ptCount val="12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462804433642754E-2"/>
          <c:y val="6.930208871538257E-2"/>
          <c:w val="0.88387886446559327"/>
          <c:h val="0.93069791128461743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</c:dPt>
          <c:cat>
            <c:strRef>
              <c:f>Janeiro!$X$5:$X$7</c:f>
              <c:strCache>
                <c:ptCount val="3"/>
                <c:pt idx="0">
                  <c:v>Estque </c:v>
                </c:pt>
                <c:pt idx="1">
                  <c:v>Marcador</c:v>
                </c:pt>
                <c:pt idx="2">
                  <c:v>Complemento</c:v>
                </c:pt>
              </c:strCache>
            </c:strRef>
          </c:cat>
          <c:val>
            <c:numRef>
              <c:f>Janeiro!$Y$5:$Y$7</c:f>
              <c:numCache>
                <c:formatCode>#0\ \L</c:formatCode>
                <c:ptCount val="3"/>
                <c:pt idx="0">
                  <c:v>190</c:v>
                </c:pt>
                <c:pt idx="1">
                  <c:v>10</c:v>
                </c:pt>
                <c:pt idx="2">
                  <c:v>800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[Comsumo de Óleo.xlsm]Janeiro!Tabela dinâmica2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numFmt formatCode="#0\ \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numFmt formatCode="#0\ \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1.9954645675769718E-2"/>
          <c:y val="4.0797385930129292E-2"/>
          <c:w val="0.96009070864846058"/>
          <c:h val="0.69608164811391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Janeiro!$Y$28:$Y$29</c:f>
              <c:strCache>
                <c:ptCount val="1"/>
                <c:pt idx="0">
                  <c:v>68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0\ \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Janeiro!$X$30:$X$33</c:f>
              <c:strCache>
                <c:ptCount val="3"/>
                <c:pt idx="0">
                  <c:v>M42</c:v>
                </c:pt>
                <c:pt idx="1">
                  <c:v>M43</c:v>
                </c:pt>
                <c:pt idx="2">
                  <c:v>M45</c:v>
                </c:pt>
              </c:strCache>
            </c:strRef>
          </c:cat>
          <c:val>
            <c:numRef>
              <c:f>Janeiro!$Y$30:$Y$33</c:f>
              <c:numCache>
                <c:formatCode>General</c:formatCode>
                <c:ptCount val="3"/>
                <c:pt idx="0">
                  <c:v>400</c:v>
                </c:pt>
                <c:pt idx="1">
                  <c:v>300</c:v>
                </c:pt>
                <c:pt idx="2">
                  <c:v>120</c:v>
                </c:pt>
              </c:numCache>
            </c:numRef>
          </c:val>
        </c:ser>
        <c:ser>
          <c:idx val="1"/>
          <c:order val="1"/>
          <c:tx>
            <c:strRef>
              <c:f>Janeiro!$Z$28:$Z$29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#0\ \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Janeiro!$X$30:$X$33</c:f>
              <c:strCache>
                <c:ptCount val="3"/>
                <c:pt idx="0">
                  <c:v>M42</c:v>
                </c:pt>
                <c:pt idx="1">
                  <c:v>M43</c:v>
                </c:pt>
                <c:pt idx="2">
                  <c:v>M45</c:v>
                </c:pt>
              </c:strCache>
            </c:strRef>
          </c:cat>
          <c:val>
            <c:numRef>
              <c:f>Janeiro!$Z$30:$Z$33</c:f>
              <c:numCache>
                <c:formatCode>General</c:formatCode>
                <c:ptCount val="3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3"/>
        <c:axId val="257948960"/>
        <c:axId val="257897184"/>
      </c:barChart>
      <c:catAx>
        <c:axId val="25794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7897184"/>
        <c:crosses val="autoZero"/>
        <c:auto val="1"/>
        <c:lblAlgn val="ctr"/>
        <c:lblOffset val="100"/>
        <c:noMultiLvlLbl val="0"/>
      </c:catAx>
      <c:valAx>
        <c:axId val="2578971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5794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711198427168259"/>
          <c:y val="0.87484199579366795"/>
          <c:w val="0.24935879452799906"/>
          <c:h val="7.1564806078080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1</xdr:row>
      <xdr:rowOff>304800</xdr:rowOff>
    </xdr:from>
    <xdr:to>
      <xdr:col>17</xdr:col>
      <xdr:colOff>381000</xdr:colOff>
      <xdr:row>18</xdr:row>
      <xdr:rowOff>152400</xdr:rowOff>
    </xdr:to>
    <xdr:grpSp>
      <xdr:nvGrpSpPr>
        <xdr:cNvPr id="24" name="Grupo 23"/>
        <xdr:cNvGrpSpPr/>
      </xdr:nvGrpSpPr>
      <xdr:grpSpPr>
        <a:xfrm>
          <a:off x="5162550" y="676275"/>
          <a:ext cx="7086600" cy="3314700"/>
          <a:chOff x="5153025" y="1028700"/>
          <a:chExt cx="7086600" cy="3314700"/>
        </a:xfrm>
      </xdr:grpSpPr>
      <xdr:grpSp>
        <xdr:nvGrpSpPr>
          <xdr:cNvPr id="20" name="Grupo 19"/>
          <xdr:cNvGrpSpPr>
            <a:grpSpLocks noChangeAspect="1"/>
          </xdr:cNvGrpSpPr>
        </xdr:nvGrpSpPr>
        <xdr:grpSpPr>
          <a:xfrm>
            <a:off x="5153025" y="1028700"/>
            <a:ext cx="7086600" cy="3314700"/>
            <a:chOff x="5153025" y="1028700"/>
            <a:chExt cx="7086600" cy="3314700"/>
          </a:xfrm>
        </xdr:grpSpPr>
        <xdr:grpSp>
          <xdr:nvGrpSpPr>
            <xdr:cNvPr id="11" name="Grupo 10"/>
            <xdr:cNvGrpSpPr/>
          </xdr:nvGrpSpPr>
          <xdr:grpSpPr>
            <a:xfrm>
              <a:off x="5153025" y="1028700"/>
              <a:ext cx="3467100" cy="3314700"/>
              <a:chOff x="5267325" y="1104900"/>
              <a:chExt cx="3467100" cy="3314700"/>
            </a:xfrm>
          </xdr:grpSpPr>
          <xdr:grpSp>
            <xdr:nvGrpSpPr>
              <xdr:cNvPr id="9" name="Grupo 8"/>
              <xdr:cNvGrpSpPr/>
            </xdr:nvGrpSpPr>
            <xdr:grpSpPr>
              <a:xfrm>
                <a:off x="5267325" y="1414461"/>
                <a:ext cx="3467100" cy="3005139"/>
                <a:chOff x="6204328" y="842961"/>
                <a:chExt cx="3554923" cy="3005139"/>
              </a:xfrm>
            </xdr:grpSpPr>
            <xdr:graphicFrame macro="">
              <xdr:nvGraphicFramePr>
                <xdr:cNvPr id="7" name="Gráfico 6"/>
                <xdr:cNvGraphicFramePr/>
              </xdr:nvGraphicFramePr>
              <xdr:xfrm>
                <a:off x="6204328" y="1028701"/>
                <a:ext cx="3429000" cy="2819399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"/>
                </a:graphicData>
              </a:graphic>
            </xdr:graphicFrame>
            <xdr:graphicFrame macro="">
              <xdr:nvGraphicFramePr>
                <xdr:cNvPr id="8" name="Gráfico 7"/>
                <xdr:cNvGraphicFramePr/>
              </xdr:nvGraphicFramePr>
              <xdr:xfrm>
                <a:off x="6582095" y="842961"/>
                <a:ext cx="3177156" cy="2967039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2"/>
                </a:graphicData>
              </a:graphic>
            </xdr:graphicFrame>
          </xdr:grpSp>
          <xdr:sp macro="" textlink="$C$4">
            <xdr:nvSpPr>
              <xdr:cNvPr id="10" name="CaixaDeTexto 9"/>
              <xdr:cNvSpPr txBox="1"/>
            </xdr:nvSpPr>
            <xdr:spPr>
              <a:xfrm>
                <a:off x="5829300" y="1104900"/>
                <a:ext cx="2581275" cy="34290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037BD13A-FBBB-40DF-935F-F83FE8E92C0E}" type="TxLink">
                  <a:rPr lang="en-US" sz="1800" b="1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pPr algn="ctr"/>
                  <a:t>Óleo 68 - Hidráulico</a:t>
                </a:fld>
                <a:endParaRPr lang="pt-BR" sz="1800" b="1"/>
              </a:p>
            </xdr:txBody>
          </xdr:sp>
        </xdr:grpSp>
        <xdr:grpSp>
          <xdr:nvGrpSpPr>
            <xdr:cNvPr id="12" name="Grupo 11"/>
            <xdr:cNvGrpSpPr/>
          </xdr:nvGrpSpPr>
          <xdr:grpSpPr>
            <a:xfrm>
              <a:off x="8534399" y="1028700"/>
              <a:ext cx="3467101" cy="3314700"/>
              <a:chOff x="5267324" y="1104900"/>
              <a:chExt cx="3467101" cy="3314700"/>
            </a:xfrm>
          </xdr:grpSpPr>
          <xdr:grpSp>
            <xdr:nvGrpSpPr>
              <xdr:cNvPr id="13" name="Grupo 12"/>
              <xdr:cNvGrpSpPr/>
            </xdr:nvGrpSpPr>
            <xdr:grpSpPr>
              <a:xfrm>
                <a:off x="5267324" y="1414461"/>
                <a:ext cx="3467101" cy="3005139"/>
                <a:chOff x="6204327" y="842961"/>
                <a:chExt cx="3554924" cy="3005139"/>
              </a:xfrm>
            </xdr:grpSpPr>
            <xdr:graphicFrame macro="">
              <xdr:nvGraphicFramePr>
                <xdr:cNvPr id="15" name="Gráfico 14"/>
                <xdr:cNvGraphicFramePr/>
              </xdr:nvGraphicFramePr>
              <xdr:xfrm>
                <a:off x="6204327" y="1028701"/>
                <a:ext cx="3429000" cy="2819399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3"/>
                </a:graphicData>
              </a:graphic>
            </xdr:graphicFrame>
            <xdr:graphicFrame macro="">
              <xdr:nvGraphicFramePr>
                <xdr:cNvPr id="16" name="Gráfico 15"/>
                <xdr:cNvGraphicFramePr/>
              </xdr:nvGraphicFramePr>
              <xdr:xfrm>
                <a:off x="6582095" y="842961"/>
                <a:ext cx="3177156" cy="2967039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4"/>
                </a:graphicData>
              </a:graphic>
            </xdr:graphicFrame>
          </xdr:grpSp>
          <xdr:sp macro="" textlink="$C$7">
            <xdr:nvSpPr>
              <xdr:cNvPr id="14" name="CaixaDeTexto 13"/>
              <xdr:cNvSpPr txBox="1"/>
            </xdr:nvSpPr>
            <xdr:spPr>
              <a:xfrm>
                <a:off x="5829300" y="1104900"/>
                <a:ext cx="2581275" cy="34290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AFED176E-65F7-47F4-8E8D-E87274DD68DF}" type="TxLink">
                  <a:rPr lang="en-US" sz="1800" b="1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pPr algn="ctr"/>
                  <a:t>Óleo 100 - Térmico</a:t>
                </a:fld>
                <a:endParaRPr lang="pt-BR" sz="3200" b="1"/>
              </a:p>
            </xdr:txBody>
          </xdr:sp>
        </xdr:grpSp>
        <xdr:cxnSp macro="">
          <xdr:nvCxnSpPr>
            <xdr:cNvPr id="18" name="Conector reto 17"/>
            <xdr:cNvCxnSpPr/>
          </xdr:nvCxnSpPr>
          <xdr:spPr>
            <a:xfrm>
              <a:off x="5267325" y="2943225"/>
              <a:ext cx="6972300" cy="0"/>
            </a:xfrm>
            <a:prstGeom prst="line">
              <a:avLst/>
            </a:prstGeom>
            <a:ln w="285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$V$8">
        <xdr:nvSpPr>
          <xdr:cNvPr id="22" name="CaixaDeTexto 21"/>
          <xdr:cNvSpPr txBox="1"/>
        </xdr:nvSpPr>
        <xdr:spPr>
          <a:xfrm>
            <a:off x="6562726" y="2447925"/>
            <a:ext cx="923924" cy="400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2FF5B0F-8D8F-4728-B279-FF43CA5BFA4D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18%</a:t>
            </a:fld>
            <a:endParaRPr lang="pt-BR" sz="2400" b="1"/>
          </a:p>
        </xdr:txBody>
      </xdr:sp>
      <xdr:sp macro="" textlink="$Y$8">
        <xdr:nvSpPr>
          <xdr:cNvPr id="23" name="CaixaDeTexto 22"/>
          <xdr:cNvSpPr txBox="1"/>
        </xdr:nvSpPr>
        <xdr:spPr>
          <a:xfrm>
            <a:off x="9944101" y="2447925"/>
            <a:ext cx="923924" cy="400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97DE870-64CE-4AF1-B053-C73A22178816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40%</a:t>
            </a:fld>
            <a:endParaRPr lang="pt-BR" sz="4800" b="1"/>
          </a:p>
        </xdr:txBody>
      </xdr:sp>
    </xdr:grpSp>
    <xdr:clientData/>
  </xdr:twoCellAnchor>
  <xdr:twoCellAnchor>
    <xdr:from>
      <xdr:col>6</xdr:col>
      <xdr:colOff>361949</xdr:colOff>
      <xdr:row>12</xdr:row>
      <xdr:rowOff>128587</xdr:rowOff>
    </xdr:from>
    <xdr:to>
      <xdr:col>17</xdr:col>
      <xdr:colOff>314325</xdr:colOff>
      <xdr:row>23</xdr:row>
      <xdr:rowOff>66675</xdr:rowOff>
    </xdr:to>
    <xdr:graphicFrame macro="">
      <xdr:nvGraphicFramePr>
        <xdr:cNvPr id="25" name="Gráfico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200025</xdr:colOff>
      <xdr:row>1</xdr:row>
      <xdr:rowOff>104775</xdr:rowOff>
    </xdr:from>
    <xdr:to>
      <xdr:col>5</xdr:col>
      <xdr:colOff>1000125</xdr:colOff>
      <xdr:row>1</xdr:row>
      <xdr:rowOff>390525</xdr:rowOff>
    </xdr:to>
    <xdr:sp macro="" textlink="">
      <xdr:nvSpPr>
        <xdr:cNvPr id="26" name="Retângulo 25"/>
        <xdr:cNvSpPr/>
      </xdr:nvSpPr>
      <xdr:spPr>
        <a:xfrm>
          <a:off x="2962275" y="476250"/>
          <a:ext cx="1828800" cy="285750"/>
        </a:xfrm>
        <a:prstGeom prst="rect">
          <a:avLst/>
        </a:prstGeom>
        <a:solidFill>
          <a:schemeClr val="accent6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/>
            <a:t>Lançar Consumo</a:t>
          </a:r>
          <a:r>
            <a:rPr lang="pt-BR" sz="1200" b="0" baseline="0"/>
            <a:t> de Óleo</a:t>
          </a:r>
          <a:endParaRPr lang="pt-BR" sz="1200" b="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nutenção Pernambuco" refreshedDate="44964.532404398145" createdVersion="5" refreshedVersion="5" minRefreshableVersion="3" recordCount="7">
  <cacheSource type="worksheet">
    <worksheetSource name="Tabela1"/>
  </cacheSource>
  <cacheFields count="4">
    <cacheField name="Data" numFmtId="14">
      <sharedItems containsDate="1" containsMixedTypes="1" minDate="2022-02-21T00:00:00" maxDate="2023-02-22T00:00:00"/>
    </cacheField>
    <cacheField name="Máquina" numFmtId="0">
      <sharedItems count="4">
        <s v="M42"/>
        <s v="M45"/>
        <s v="M43"/>
        <s v="M2" u="1"/>
      </sharedItems>
    </cacheField>
    <cacheField name="Tipo" numFmtId="0">
      <sharedItems containsSemiMixedTypes="0" containsString="0" containsNumber="1" containsInteger="1" minValue="68" maxValue="100" count="2">
        <n v="68"/>
        <n v="100"/>
      </sharedItems>
    </cacheField>
    <cacheField name="Quantidade" numFmtId="164">
      <sharedItems containsSemiMixedTypes="0" containsString="0" containsNumber="1" containsInteger="1" minValue="100" maxValue="3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d v="2023-02-21T00:00:00"/>
    <x v="0"/>
    <x v="0"/>
    <n v="100"/>
  </r>
  <r>
    <d v="2022-02-21T00:00:00"/>
    <x v="1"/>
    <x v="1"/>
    <n v="200"/>
  </r>
  <r>
    <d v="2022-02-21T00:00:00"/>
    <x v="0"/>
    <x v="0"/>
    <n v="300"/>
  </r>
  <r>
    <d v="2022-02-21T00:00:00"/>
    <x v="2"/>
    <x v="1"/>
    <n v="200"/>
  </r>
  <r>
    <s v="21/22/2023"/>
    <x v="1"/>
    <x v="0"/>
    <n v="120"/>
  </r>
  <r>
    <d v="2023-02-21T00:00:00"/>
    <x v="2"/>
    <x v="0"/>
    <n v="300"/>
  </r>
  <r>
    <d v="2023-02-21T00:00:00"/>
    <x v="0"/>
    <x v="1"/>
    <n v="2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8">
  <location ref="X28:AA33" firstHeaderRow="1" firstDataRow="2" firstDataCol="1"/>
  <pivotFields count="4">
    <pivotField numFmtId="14" showAll="0"/>
    <pivotField axis="axisRow" showAll="0">
      <items count="5">
        <item x="0"/>
        <item x="2"/>
        <item x="1"/>
        <item m="1" x="3"/>
        <item t="default"/>
      </items>
    </pivotField>
    <pivotField axis="axisCol" showAll="0">
      <items count="3">
        <item x="0"/>
        <item x="1"/>
        <item t="default"/>
      </items>
    </pivotField>
    <pivotField dataField="1" numFmtId="164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oma de Quantidade" fld="3" baseField="0" baseItem="0"/>
  </dataFields>
  <chartFormats count="2"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ela1" displayName="Tabela1" ref="C11:F18" totalsRowShown="0" headerRowDxfId="4">
  <autoFilter ref="C11:F18"/>
  <tableColumns count="4">
    <tableColumn id="1" name="Data" dataDxfId="3"/>
    <tableColumn id="2" name="Máquina" dataDxfId="2"/>
    <tableColumn id="3" name="Tipo" dataDxfId="1"/>
    <tableColumn id="4" name="Quantidad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A33"/>
  <sheetViews>
    <sheetView showGridLines="0" showRowColHeaders="0" workbookViewId="0">
      <selection activeCell="C2" sqref="C2"/>
    </sheetView>
  </sheetViews>
  <sheetFormatPr defaultRowHeight="15" x14ac:dyDescent="0.25"/>
  <cols>
    <col min="1" max="1" width="3.42578125" customWidth="1"/>
    <col min="2" max="2" width="8.28515625" customWidth="1"/>
    <col min="3" max="3" width="14.28515625" customWidth="1"/>
    <col min="4" max="6" width="15.42578125" customWidth="1"/>
    <col min="16" max="16" width="13.85546875" bestFit="1" customWidth="1"/>
    <col min="17" max="17" width="9.5703125" bestFit="1" customWidth="1"/>
    <col min="21" max="21" width="13.85546875" bestFit="1" customWidth="1"/>
    <col min="22" max="22" width="13.5703125" customWidth="1"/>
    <col min="23" max="23" width="18" bestFit="1" customWidth="1"/>
    <col min="24" max="24" width="19.7109375" customWidth="1"/>
    <col min="25" max="25" width="19.5703125" customWidth="1"/>
    <col min="26" max="26" width="4" customWidth="1"/>
    <col min="27" max="27" width="10.7109375" bestFit="1" customWidth="1"/>
  </cols>
  <sheetData>
    <row r="1" spans="2:25" s="1" customFormat="1" ht="29.25" customHeight="1" x14ac:dyDescent="0.25">
      <c r="B1" s="2" t="s">
        <v>0</v>
      </c>
      <c r="G1" s="2" t="s">
        <v>8</v>
      </c>
    </row>
    <row r="2" spans="2:25" ht="32.25" customHeight="1" x14ac:dyDescent="0.25"/>
    <row r="4" spans="2:25" x14ac:dyDescent="0.25">
      <c r="C4" s="16" t="s">
        <v>14</v>
      </c>
      <c r="D4" s="17"/>
      <c r="E4" s="17"/>
      <c r="F4" s="18"/>
      <c r="V4" s="8" t="s">
        <v>10</v>
      </c>
      <c r="Y4" s="8" t="s">
        <v>10</v>
      </c>
    </row>
    <row r="5" spans="2:25" x14ac:dyDescent="0.25">
      <c r="C5" s="8" t="s">
        <v>5</v>
      </c>
      <c r="D5" s="8" t="s">
        <v>6</v>
      </c>
      <c r="E5" s="8" t="s">
        <v>9</v>
      </c>
      <c r="F5" s="8" t="s">
        <v>7</v>
      </c>
      <c r="U5" s="11" t="s">
        <v>11</v>
      </c>
      <c r="V5" s="12">
        <f>(F6/2)-V6</f>
        <v>80</v>
      </c>
      <c r="X5" s="11" t="s">
        <v>11</v>
      </c>
      <c r="Y5" s="12">
        <f>(F9/2)-Y6</f>
        <v>190</v>
      </c>
    </row>
    <row r="6" spans="2:25" x14ac:dyDescent="0.25">
      <c r="C6" s="6">
        <v>0</v>
      </c>
      <c r="D6" s="6">
        <v>1000</v>
      </c>
      <c r="E6" s="6">
        <f>SUMIF(Tabela1[Tipo],68,Tabela1[Quantidade])</f>
        <v>820</v>
      </c>
      <c r="F6" s="6">
        <f>D6+C6-E6</f>
        <v>180</v>
      </c>
      <c r="U6" s="11" t="s">
        <v>12</v>
      </c>
      <c r="V6" s="12">
        <f>1%*SUM(C6:D6)</f>
        <v>10</v>
      </c>
      <c r="X6" s="11" t="s">
        <v>12</v>
      </c>
      <c r="Y6" s="12">
        <f>1%*SUM(C9:D9)</f>
        <v>10</v>
      </c>
    </row>
    <row r="7" spans="2:25" x14ac:dyDescent="0.25">
      <c r="C7" s="16" t="s">
        <v>15</v>
      </c>
      <c r="D7" s="17"/>
      <c r="E7" s="17"/>
      <c r="F7" s="18"/>
      <c r="U7" s="11" t="s">
        <v>13</v>
      </c>
      <c r="V7" s="11">
        <f>SUM(C6:D6)-V6-V5</f>
        <v>910</v>
      </c>
      <c r="X7" s="11" t="s">
        <v>13</v>
      </c>
      <c r="Y7" s="11">
        <f>SUM(C9:D9)-Y6-Y5</f>
        <v>800</v>
      </c>
    </row>
    <row r="8" spans="2:25" x14ac:dyDescent="0.25">
      <c r="C8" s="8" t="s">
        <v>5</v>
      </c>
      <c r="D8" s="8" t="s">
        <v>6</v>
      </c>
      <c r="E8" s="8" t="s">
        <v>9</v>
      </c>
      <c r="F8" s="8" t="s">
        <v>7</v>
      </c>
      <c r="U8" s="11" t="s">
        <v>16</v>
      </c>
      <c r="V8" s="10">
        <f>F6/SUM(C6:D6)</f>
        <v>0.18</v>
      </c>
      <c r="X8" s="11" t="s">
        <v>16</v>
      </c>
      <c r="Y8" s="10">
        <f>F9/SUM(C9:D9)</f>
        <v>0.4</v>
      </c>
    </row>
    <row r="9" spans="2:25" x14ac:dyDescent="0.25">
      <c r="C9" s="6">
        <v>0</v>
      </c>
      <c r="D9" s="6">
        <v>1000</v>
      </c>
      <c r="E9" s="6">
        <f>SUMIF(Tabela1[Tipo],100,Tabela1[Quantidade])</f>
        <v>600</v>
      </c>
      <c r="F9" s="6">
        <f>D9+C9-E9</f>
        <v>400</v>
      </c>
    </row>
    <row r="10" spans="2:25" x14ac:dyDescent="0.25">
      <c r="X10" s="9">
        <v>0</v>
      </c>
      <c r="Y10">
        <v>10</v>
      </c>
    </row>
    <row r="11" spans="2:25" ht="15.75" x14ac:dyDescent="0.25">
      <c r="C11" s="3" t="s">
        <v>1</v>
      </c>
      <c r="D11" s="3" t="s">
        <v>2</v>
      </c>
      <c r="E11" s="3" t="s">
        <v>3</v>
      </c>
      <c r="F11" s="3" t="s">
        <v>4</v>
      </c>
      <c r="X11" s="9">
        <v>0.1</v>
      </c>
      <c r="Y11">
        <v>10</v>
      </c>
    </row>
    <row r="12" spans="2:25" x14ac:dyDescent="0.25">
      <c r="C12" s="5">
        <v>44978</v>
      </c>
      <c r="D12" s="4" t="s">
        <v>17</v>
      </c>
      <c r="E12" s="4">
        <v>68</v>
      </c>
      <c r="F12" s="7">
        <v>100</v>
      </c>
      <c r="X12" s="9">
        <v>0.2</v>
      </c>
      <c r="Y12">
        <v>10</v>
      </c>
    </row>
    <row r="13" spans="2:25" x14ac:dyDescent="0.25">
      <c r="C13" s="5">
        <v>44613</v>
      </c>
      <c r="D13" s="4" t="s">
        <v>18</v>
      </c>
      <c r="E13" s="4">
        <v>100</v>
      </c>
      <c r="F13" s="7">
        <v>200</v>
      </c>
      <c r="X13" s="9">
        <v>0.3</v>
      </c>
      <c r="Y13">
        <v>10</v>
      </c>
    </row>
    <row r="14" spans="2:25" x14ac:dyDescent="0.25">
      <c r="C14" s="5">
        <v>44613</v>
      </c>
      <c r="D14" s="4" t="s">
        <v>17</v>
      </c>
      <c r="E14" s="4">
        <v>68</v>
      </c>
      <c r="F14" s="7">
        <v>300</v>
      </c>
      <c r="X14" s="9">
        <v>0.4</v>
      </c>
      <c r="Y14">
        <v>10</v>
      </c>
    </row>
    <row r="15" spans="2:25" x14ac:dyDescent="0.25">
      <c r="C15" s="5">
        <v>44613</v>
      </c>
      <c r="D15" s="4" t="s">
        <v>19</v>
      </c>
      <c r="E15" s="4">
        <v>100</v>
      </c>
      <c r="F15" s="7">
        <v>200</v>
      </c>
      <c r="X15" s="9">
        <v>0.5</v>
      </c>
      <c r="Y15">
        <v>10</v>
      </c>
    </row>
    <row r="16" spans="2:25" x14ac:dyDescent="0.25">
      <c r="C16" s="5" t="s">
        <v>24</v>
      </c>
      <c r="D16" s="4" t="s">
        <v>18</v>
      </c>
      <c r="E16" s="4">
        <v>68</v>
      </c>
      <c r="F16" s="7">
        <v>120</v>
      </c>
      <c r="X16" s="9">
        <v>0.6</v>
      </c>
      <c r="Y16">
        <v>10</v>
      </c>
    </row>
    <row r="17" spans="3:27" x14ac:dyDescent="0.25">
      <c r="C17" s="5">
        <v>44978</v>
      </c>
      <c r="D17" s="4" t="s">
        <v>19</v>
      </c>
      <c r="E17" s="4">
        <v>68</v>
      </c>
      <c r="F17" s="7">
        <v>300</v>
      </c>
      <c r="X17" s="9">
        <v>0.7</v>
      </c>
      <c r="Y17">
        <v>10</v>
      </c>
    </row>
    <row r="18" spans="3:27" x14ac:dyDescent="0.25">
      <c r="C18" s="5">
        <v>44978</v>
      </c>
      <c r="D18" s="4" t="s">
        <v>17</v>
      </c>
      <c r="E18" s="4">
        <v>100</v>
      </c>
      <c r="F18" s="7">
        <v>200</v>
      </c>
      <c r="X18" s="9">
        <v>0.8</v>
      </c>
      <c r="Y18">
        <v>10</v>
      </c>
    </row>
    <row r="19" spans="3:27" x14ac:dyDescent="0.25">
      <c r="X19" s="9">
        <v>0.9</v>
      </c>
      <c r="Y19">
        <v>10</v>
      </c>
    </row>
    <row r="20" spans="3:27" x14ac:dyDescent="0.25">
      <c r="X20" s="9">
        <v>1</v>
      </c>
      <c r="Y20">
        <v>10</v>
      </c>
    </row>
    <row r="21" spans="3:27" x14ac:dyDescent="0.25">
      <c r="X21" s="9">
        <v>1</v>
      </c>
      <c r="Y21">
        <v>110</v>
      </c>
    </row>
    <row r="28" spans="3:27" x14ac:dyDescent="0.25">
      <c r="X28" s="14" t="s">
        <v>22</v>
      </c>
      <c r="Y28" s="14" t="s">
        <v>23</v>
      </c>
    </row>
    <row r="29" spans="3:27" x14ac:dyDescent="0.25">
      <c r="X29" s="14" t="s">
        <v>20</v>
      </c>
      <c r="Y29">
        <v>68</v>
      </c>
      <c r="Z29">
        <v>100</v>
      </c>
      <c r="AA29" t="s">
        <v>21</v>
      </c>
    </row>
    <row r="30" spans="3:27" x14ac:dyDescent="0.25">
      <c r="X30" s="15" t="s">
        <v>17</v>
      </c>
      <c r="Y30" s="13">
        <v>400</v>
      </c>
      <c r="Z30" s="13">
        <v>200</v>
      </c>
      <c r="AA30" s="13">
        <v>600</v>
      </c>
    </row>
    <row r="31" spans="3:27" x14ac:dyDescent="0.25">
      <c r="X31" s="15" t="s">
        <v>19</v>
      </c>
      <c r="Y31" s="13">
        <v>300</v>
      </c>
      <c r="Z31" s="13">
        <v>200</v>
      </c>
      <c r="AA31" s="13">
        <v>500</v>
      </c>
    </row>
    <row r="32" spans="3:27" x14ac:dyDescent="0.25">
      <c r="X32" s="15" t="s">
        <v>18</v>
      </c>
      <c r="Y32" s="13">
        <v>120</v>
      </c>
      <c r="Z32" s="13">
        <v>200</v>
      </c>
      <c r="AA32" s="13">
        <v>320</v>
      </c>
    </row>
    <row r="33" spans="24:27" x14ac:dyDescent="0.25">
      <c r="X33" s="15" t="s">
        <v>21</v>
      </c>
      <c r="Y33" s="13">
        <v>820</v>
      </c>
      <c r="Z33" s="13">
        <v>600</v>
      </c>
      <c r="AA33" s="13">
        <v>1420</v>
      </c>
    </row>
  </sheetData>
  <mergeCells count="2">
    <mergeCell ref="C4:F4"/>
    <mergeCell ref="C7:F7"/>
  </mergeCells>
  <pageMargins left="0.511811024" right="0.511811024" top="0.78740157499999996" bottom="0.78740157499999996" header="0.31496062000000002" footer="0.31496062000000002"/>
  <pageSetup paperSize="9" orientation="portrait" r:id="rId2"/>
  <ignoredErrors>
    <ignoredError sqref="Y7:Y8" formulaRange="1"/>
  </ignoredErrors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3:E56"/>
  <sheetViews>
    <sheetView tabSelected="1" workbookViewId="0">
      <selection activeCell="M7" sqref="M7"/>
    </sheetView>
  </sheetViews>
  <sheetFormatPr defaultRowHeight="15" x14ac:dyDescent="0.25"/>
  <cols>
    <col min="2" max="2" width="18.5703125" bestFit="1" customWidth="1"/>
    <col min="3" max="3" width="12.7109375" bestFit="1" customWidth="1"/>
    <col min="4" max="4" width="3.7109375" customWidth="1"/>
    <col min="5" max="5" width="10" bestFit="1" customWidth="1"/>
  </cols>
  <sheetData>
    <row r="3" spans="2:5" x14ac:dyDescent="0.25">
      <c r="B3" s="19" t="s">
        <v>25</v>
      </c>
      <c r="C3" s="19" t="s">
        <v>26</v>
      </c>
      <c r="E3" s="19" t="s">
        <v>82</v>
      </c>
    </row>
    <row r="4" spans="2:5" x14ac:dyDescent="0.25">
      <c r="B4" s="19" t="s">
        <v>27</v>
      </c>
      <c r="C4" s="19" t="s">
        <v>26</v>
      </c>
      <c r="E4" s="19" t="s">
        <v>83</v>
      </c>
    </row>
    <row r="5" spans="2:5" x14ac:dyDescent="0.25">
      <c r="B5" s="19" t="s">
        <v>28</v>
      </c>
      <c r="C5" s="19" t="s">
        <v>26</v>
      </c>
    </row>
    <row r="6" spans="2:5" x14ac:dyDescent="0.25">
      <c r="B6" s="19" t="s">
        <v>29</v>
      </c>
      <c r="C6" s="19" t="s">
        <v>26</v>
      </c>
    </row>
    <row r="7" spans="2:5" x14ac:dyDescent="0.25">
      <c r="B7" s="19" t="s">
        <v>30</v>
      </c>
      <c r="C7" s="19" t="s">
        <v>31</v>
      </c>
    </row>
    <row r="8" spans="2:5" x14ac:dyDescent="0.25">
      <c r="B8" s="19" t="s">
        <v>32</v>
      </c>
      <c r="C8" s="19" t="s">
        <v>31</v>
      </c>
    </row>
    <row r="9" spans="2:5" x14ac:dyDescent="0.25">
      <c r="B9" s="19" t="s">
        <v>33</v>
      </c>
      <c r="C9" s="19" t="s">
        <v>31</v>
      </c>
    </row>
    <row r="10" spans="2:5" x14ac:dyDescent="0.25">
      <c r="B10" s="19" t="s">
        <v>34</v>
      </c>
      <c r="C10" s="19" t="s">
        <v>31</v>
      </c>
    </row>
    <row r="11" spans="2:5" x14ac:dyDescent="0.25">
      <c r="B11" s="19" t="s">
        <v>35</v>
      </c>
      <c r="C11" s="19" t="s">
        <v>31</v>
      </c>
    </row>
    <row r="12" spans="2:5" x14ac:dyDescent="0.25">
      <c r="B12" s="19" t="s">
        <v>36</v>
      </c>
      <c r="C12" s="19" t="s">
        <v>31</v>
      </c>
    </row>
    <row r="13" spans="2:5" x14ac:dyDescent="0.25">
      <c r="B13" s="19" t="s">
        <v>37</v>
      </c>
      <c r="C13" s="19" t="s">
        <v>31</v>
      </c>
    </row>
    <row r="14" spans="2:5" x14ac:dyDescent="0.25">
      <c r="B14" s="19" t="s">
        <v>38</v>
      </c>
      <c r="C14" s="19" t="s">
        <v>31</v>
      </c>
    </row>
    <row r="15" spans="2:5" x14ac:dyDescent="0.25">
      <c r="B15" s="19" t="s">
        <v>39</v>
      </c>
      <c r="C15" s="19" t="s">
        <v>31</v>
      </c>
    </row>
    <row r="16" spans="2:5" x14ac:dyDescent="0.25">
      <c r="B16" s="19" t="s">
        <v>40</v>
      </c>
      <c r="C16" s="19" t="s">
        <v>31</v>
      </c>
    </row>
    <row r="17" spans="2:3" x14ac:dyDescent="0.25">
      <c r="B17" s="19" t="s">
        <v>18</v>
      </c>
      <c r="C17" s="19" t="s">
        <v>31</v>
      </c>
    </row>
    <row r="18" spans="2:3" x14ac:dyDescent="0.25">
      <c r="B18" s="19" t="s">
        <v>41</v>
      </c>
      <c r="C18" s="19" t="s">
        <v>42</v>
      </c>
    </row>
    <row r="19" spans="2:3" x14ac:dyDescent="0.25">
      <c r="B19" s="19" t="s">
        <v>43</v>
      </c>
      <c r="C19" s="19" t="s">
        <v>42</v>
      </c>
    </row>
    <row r="20" spans="2:3" x14ac:dyDescent="0.25">
      <c r="B20" s="19" t="s">
        <v>44</v>
      </c>
      <c r="C20" s="19" t="s">
        <v>42</v>
      </c>
    </row>
    <row r="21" spans="2:3" x14ac:dyDescent="0.25">
      <c r="B21" s="19" t="s">
        <v>45</v>
      </c>
      <c r="C21" s="19" t="s">
        <v>42</v>
      </c>
    </row>
    <row r="22" spans="2:3" x14ac:dyDescent="0.25">
      <c r="B22" s="19" t="s">
        <v>46</v>
      </c>
      <c r="C22" s="19" t="s">
        <v>42</v>
      </c>
    </row>
    <row r="23" spans="2:3" x14ac:dyDescent="0.25">
      <c r="B23" s="19" t="s">
        <v>47</v>
      </c>
      <c r="C23" s="19" t="s">
        <v>42</v>
      </c>
    </row>
    <row r="24" spans="2:3" x14ac:dyDescent="0.25">
      <c r="B24" s="19" t="s">
        <v>48</v>
      </c>
      <c r="C24" s="19" t="s">
        <v>42</v>
      </c>
    </row>
    <row r="25" spans="2:3" x14ac:dyDescent="0.25">
      <c r="B25" s="19" t="s">
        <v>49</v>
      </c>
      <c r="C25" s="19" t="s">
        <v>42</v>
      </c>
    </row>
    <row r="26" spans="2:3" x14ac:dyDescent="0.25">
      <c r="B26" s="19" t="s">
        <v>50</v>
      </c>
      <c r="C26" s="19" t="s">
        <v>42</v>
      </c>
    </row>
    <row r="27" spans="2:3" x14ac:dyDescent="0.25">
      <c r="B27" s="19" t="s">
        <v>51</v>
      </c>
      <c r="C27" s="19" t="s">
        <v>42</v>
      </c>
    </row>
    <row r="28" spans="2:3" x14ac:dyDescent="0.25">
      <c r="B28" s="19" t="s">
        <v>52</v>
      </c>
      <c r="C28" s="19" t="s">
        <v>53</v>
      </c>
    </row>
    <row r="29" spans="2:3" x14ac:dyDescent="0.25">
      <c r="B29" s="19" t="s">
        <v>54</v>
      </c>
      <c r="C29" s="19" t="s">
        <v>53</v>
      </c>
    </row>
    <row r="30" spans="2:3" x14ac:dyDescent="0.25">
      <c r="B30" s="19" t="s">
        <v>55</v>
      </c>
      <c r="C30" s="19" t="s">
        <v>53</v>
      </c>
    </row>
    <row r="31" spans="2:3" x14ac:dyDescent="0.25">
      <c r="B31" s="19" t="s">
        <v>56</v>
      </c>
      <c r="C31" s="19" t="s">
        <v>53</v>
      </c>
    </row>
    <row r="32" spans="2:3" x14ac:dyDescent="0.25">
      <c r="B32" s="19" t="s">
        <v>57</v>
      </c>
      <c r="C32" s="19" t="s">
        <v>53</v>
      </c>
    </row>
    <row r="33" spans="2:3" x14ac:dyDescent="0.25">
      <c r="B33" s="19" t="s">
        <v>58</v>
      </c>
      <c r="C33" s="19" t="s">
        <v>53</v>
      </c>
    </row>
    <row r="34" spans="2:3" x14ac:dyDescent="0.25">
      <c r="B34" s="19" t="s">
        <v>59</v>
      </c>
      <c r="C34" s="19" t="s">
        <v>53</v>
      </c>
    </row>
    <row r="35" spans="2:3" x14ac:dyDescent="0.25">
      <c r="B35" s="19" t="s">
        <v>60</v>
      </c>
      <c r="C35" s="19" t="s">
        <v>53</v>
      </c>
    </row>
    <row r="36" spans="2:3" x14ac:dyDescent="0.25">
      <c r="B36" s="19" t="s">
        <v>61</v>
      </c>
      <c r="C36" s="19" t="s">
        <v>62</v>
      </c>
    </row>
    <row r="37" spans="2:3" x14ac:dyDescent="0.25">
      <c r="B37" s="19" t="s">
        <v>63</v>
      </c>
      <c r="C37" s="19" t="s">
        <v>62</v>
      </c>
    </row>
    <row r="38" spans="2:3" x14ac:dyDescent="0.25">
      <c r="B38" s="19" t="s">
        <v>64</v>
      </c>
      <c r="C38" s="19" t="s">
        <v>62</v>
      </c>
    </row>
    <row r="39" spans="2:3" x14ac:dyDescent="0.25">
      <c r="B39" s="19" t="s">
        <v>65</v>
      </c>
      <c r="C39" s="19" t="s">
        <v>62</v>
      </c>
    </row>
    <row r="40" spans="2:3" x14ac:dyDescent="0.25">
      <c r="B40" s="19" t="s">
        <v>66</v>
      </c>
      <c r="C40" s="19" t="s">
        <v>62</v>
      </c>
    </row>
    <row r="41" spans="2:3" x14ac:dyDescent="0.25">
      <c r="B41" s="19" t="s">
        <v>67</v>
      </c>
      <c r="C41" s="19" t="s">
        <v>62</v>
      </c>
    </row>
    <row r="42" spans="2:3" x14ac:dyDescent="0.25">
      <c r="B42" s="19" t="s">
        <v>68</v>
      </c>
      <c r="C42" s="19" t="s">
        <v>62</v>
      </c>
    </row>
    <row r="43" spans="2:3" x14ac:dyDescent="0.25">
      <c r="B43" s="19" t="s">
        <v>17</v>
      </c>
      <c r="C43" s="19" t="s">
        <v>62</v>
      </c>
    </row>
    <row r="44" spans="2:3" x14ac:dyDescent="0.25">
      <c r="B44" s="19" t="s">
        <v>19</v>
      </c>
      <c r="C44" s="19" t="s">
        <v>62</v>
      </c>
    </row>
    <row r="45" spans="2:3" x14ac:dyDescent="0.25">
      <c r="B45" s="19" t="s">
        <v>69</v>
      </c>
      <c r="C45" s="19" t="s">
        <v>62</v>
      </c>
    </row>
    <row r="46" spans="2:3" x14ac:dyDescent="0.25">
      <c r="B46" s="19" t="s">
        <v>70</v>
      </c>
      <c r="C46" s="19" t="s">
        <v>42</v>
      </c>
    </row>
    <row r="47" spans="2:3" x14ac:dyDescent="0.25">
      <c r="B47" s="19" t="s">
        <v>71</v>
      </c>
      <c r="C47" s="19" t="s">
        <v>42</v>
      </c>
    </row>
    <row r="48" spans="2:3" x14ac:dyDescent="0.25">
      <c r="B48" s="19" t="s">
        <v>72</v>
      </c>
      <c r="C48" s="19" t="s">
        <v>42</v>
      </c>
    </row>
    <row r="49" spans="2:3" x14ac:dyDescent="0.25">
      <c r="B49" s="19" t="s">
        <v>73</v>
      </c>
      <c r="C49" s="19" t="s">
        <v>53</v>
      </c>
    </row>
    <row r="50" spans="2:3" x14ac:dyDescent="0.25">
      <c r="B50" s="19" t="s">
        <v>74</v>
      </c>
      <c r="C50" s="19" t="s">
        <v>42</v>
      </c>
    </row>
    <row r="51" spans="2:3" x14ac:dyDescent="0.25">
      <c r="B51" s="19" t="s">
        <v>75</v>
      </c>
      <c r="C51" s="19" t="s">
        <v>62</v>
      </c>
    </row>
    <row r="52" spans="2:3" x14ac:dyDescent="0.25">
      <c r="B52" s="19" t="s">
        <v>76</v>
      </c>
      <c r="C52" s="19" t="s">
        <v>62</v>
      </c>
    </row>
    <row r="53" spans="2:3" x14ac:dyDescent="0.25">
      <c r="B53" s="19" t="s">
        <v>77</v>
      </c>
      <c r="C53" s="19" t="s">
        <v>78</v>
      </c>
    </row>
    <row r="54" spans="2:3" x14ac:dyDescent="0.25">
      <c r="B54" s="19" t="s">
        <v>79</v>
      </c>
      <c r="C54" s="19" t="s">
        <v>79</v>
      </c>
    </row>
    <row r="55" spans="2:3" x14ac:dyDescent="0.25">
      <c r="B55" s="19" t="s">
        <v>80</v>
      </c>
      <c r="C55" s="19" t="s">
        <v>80</v>
      </c>
    </row>
    <row r="56" spans="2:3" x14ac:dyDescent="0.25">
      <c r="B56" s="19" t="s">
        <v>81</v>
      </c>
      <c r="C56" s="19" t="s">
        <v>78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Janeiro</vt:lpstr>
      <vt:lpstr>tools</vt:lpstr>
      <vt:lpstr>tags</vt:lpstr>
      <vt:lpstr>tipos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Manutenção Pernambuco</dc:creator>
  <cp:lastModifiedBy>Manutenção Pernambuco</cp:lastModifiedBy>
  <dcterms:created xsi:type="dcterms:W3CDTF">2023-02-07T13:25:29Z</dcterms:created>
  <dcterms:modified xsi:type="dcterms:W3CDTF">2023-02-07T17:44:42Z</dcterms:modified>
</cp:coreProperties>
</file>